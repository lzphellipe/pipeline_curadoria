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4_Resumo" sheetId="2" state="visible" r:id="rId2"/>
    <sheet xmlns:r="http://schemas.openxmlformats.org/officeDocument/2006/relationships" name="1_Bruto" sheetId="3" state="visible" r:id="rId3"/>
    <sheet xmlns:r="http://schemas.openxmlformats.org/officeDocument/2006/relationships" name="2_Limpo" sheetId="4" state="visible" r:id="rId4"/>
    <sheet xmlns:r="http://schemas.openxmlformats.org/officeDocument/2006/relationships" name="3_Curadoria" sheetId="5" state="visible" r:id="rId5"/>
    <sheet xmlns:r="http://schemas.openxmlformats.org/officeDocument/2006/relationships" name="5_Referências" sheetId="6" state="visible" r:id="rId6"/>
  </sheets>
  <definedNames>
    <definedName name="_xlnm._FilterDatabase" localSheetId="3" hidden="1">'2_Limpo'!$A$1:$K$149</definedName>
    <definedName name="_xlnm._FilterDatabase" localSheetId="4" hidden="1">'3_Curadoria'!$A$1:$L$109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1F3A5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2" fillId="3" borderId="0" pivotButton="0" quotePrefix="0" xfId="0"/>
    <xf numFmtId="0" fontId="4" fillId="4" borderId="0" pivotButton="0" quotePrefix="0" xfId="0"/>
    <xf numFmtId="0" fontId="2" fillId="4" borderId="0" pivotButton="0" quotePrefix="0" xfId="0"/>
    <xf numFmtId="0" fontId="4" fillId="5" borderId="0" pivotButton="0" quotePrefix="0" xfId="0"/>
    <xf numFmtId="0" fontId="2" fillId="5" borderId="0" pivotButton="0" quotePrefix="0" xfId="0"/>
    <xf numFmtId="0" fontId="4" fillId="6" borderId="0" pivotButton="0" quotePrefix="0" xfId="0"/>
    <xf numFmtId="0" fontId="2" fillId="6" borderId="0" pivotButton="0" quotePrefix="0" xfId="0"/>
    <xf numFmtId="0" fontId="4" fillId="7" borderId="0" pivotButton="0" quotePrefix="0" xfId="0"/>
    <xf numFmtId="0" fontId="2" fillId="7" borderId="0" pivotButton="0" quotePrefix="0" xfId="0"/>
    <xf numFmtId="0" fontId="4" fillId="8" borderId="0" pivotButton="0" quotePrefix="0" xfId="0"/>
    <xf numFmtId="0" fontId="2" fillId="8" borderId="0" pivotButton="0" quotePrefix="0" xfId="0"/>
    <xf numFmtId="0" fontId="4" fillId="9" borderId="0" pivotButton="0" quotePrefix="0" xfId="0"/>
    <xf numFmtId="0" fontId="2" fillId="9" borderId="0" pivotButton="0" quotePrefix="0" xfId="0"/>
    <xf numFmtId="0" fontId="5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164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4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164" fontId="2" fillId="9" borderId="0" applyAlignment="1" pivotButton="0" quotePrefix="0" xfId="0">
      <alignment vertical="top" wrapText="1"/>
    </xf>
    <xf numFmtId="164" fontId="4" fillId="0" borderId="0" pivotButton="0" quotePrefix="0" xfId="0"/>
    <xf numFmtId="0" fontId="2" fillId="0" borderId="0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Compostos únicos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'4_Resumo'!E4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'4_Resumo'!$B$5:$B$11</f>
            </numRef>
          </cat>
          <val>
            <numRef>
              <f>'4_Resumo'!$E$5:$E$11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pmc.ncbi.nlm.nih.gov/articles/PMC11743222/" TargetMode="External" Id="rId1"/><Relationship Type="http://schemas.openxmlformats.org/officeDocument/2006/relationships/hyperlink" Target="https://link.springer.com/article/10.1007/s11306-026-02422-8" TargetMode="External" Id="rId2"/><Relationship Type="http://schemas.openxmlformats.org/officeDocument/2006/relationships/hyperlink" Target="https://www.mdpi.com/1420-3049/27/22/7937" TargetMode="External" Id="rId3"/><Relationship Type="http://schemas.openxmlformats.org/officeDocument/2006/relationships/hyperlink" Target="https://pmc.ncbi.nlm.nih.gov/articles/PMC12314903/" TargetMode="External" Id="rId4"/><Relationship Type="http://schemas.openxmlformats.org/officeDocument/2006/relationships/hyperlink" Target="https://www.researchgate.net/publication/223496777" TargetMode="External" Id="rId5"/><Relationship Type="http://schemas.openxmlformats.org/officeDocument/2006/relationships/hyperlink" Target="https://pubmed.ncbi.nlm.nih.gov/19681612/" TargetMode="External" Id="rId6"/><Relationship Type="http://schemas.openxmlformats.org/officeDocument/2006/relationships/hyperlink" Target="https://www.nature.com/articles/ncomms5037" TargetMode="External" Id="rId7"/><Relationship Type="http://schemas.openxmlformats.org/officeDocument/2006/relationships/hyperlink" Target="https://www.sigmaaldrich.com/deepweb/assets/sigmaaldrich/product/documents/210/830/lc-ms-contaminants-brochure-ms.pdf" TargetMode="External" Id="rId8"/><Relationship Type="http://schemas.openxmlformats.org/officeDocument/2006/relationships/hyperlink" Target="https://www.nature.com/articles/s41598-020-59093-1" TargetMode="External" Id="rId9"/><Relationship Type="http://schemas.openxmlformats.org/officeDocument/2006/relationships/hyperlink" Target="https://www.mdpi.com/2072-6643/11/4/814" TargetMode="External" Id="rId10"/><Relationship Type="http://schemas.openxmlformats.org/officeDocument/2006/relationships/hyperlink" Target="https://www.sciencedirect.com/science/article/abs/pii/S0963996919301590" TargetMode="External" Id="rId11"/><Relationship Type="http://schemas.openxmlformats.org/officeDocument/2006/relationships/hyperlink" Target="https://doi.org/10.1007/s11306-007-0082-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  <col width="30" customWidth="1" min="4" max="4"/>
  </cols>
  <sheetData>
    <row r="2">
      <c r="B2" s="1" t="inlineStr">
        <is>
          <t>Curadoria de anotações LC-MS/MS — Vanilla planifolia (Orchidaceae)</t>
        </is>
      </c>
    </row>
    <row r="3">
      <c r="B3" s="2" t="inlineStr">
        <is>
          <t>Fonte: Lista_de_componentes_29.09.xlsx (148 linhas). Gerado por pipeline.py.</t>
        </is>
      </c>
    </row>
    <row r="5">
      <c r="B5" s="3" t="inlineStr">
        <is>
          <t>Etapas do pipeline</t>
        </is>
      </c>
    </row>
    <row r="6" ht="15" customHeight="1">
      <c r="B6" s="4" t="inlineStr">
        <is>
          <t>1. Carregar</t>
        </is>
      </c>
      <c r="C6" s="5" t="inlineStr">
        <is>
          <t>Aba 1_Bruto mantém os dados originais intactos.</t>
        </is>
      </c>
    </row>
    <row r="7" ht="30" customHeight="1">
      <c r="B7" s="4" t="inlineStr">
        <is>
          <t>2. Limpar</t>
        </is>
      </c>
      <c r="C7" s="5" t="inlineStr">
        <is>
          <t>Aba 2_Limpo: separa do nome a biblioteca, o ID do banco e a energia de colisão, e registra os problemas de qualidade de cada linha.</t>
        </is>
      </c>
    </row>
    <row r="8" ht="30" customHeight="1">
      <c r="B8" s="4" t="inlineStr">
        <is>
          <t>3. Padronizar</t>
        </is>
      </c>
      <c r="C8" s="5" t="inlineStr">
        <is>
          <t>Cada nome limpo é convertido em um composto canônico (dados/sinonimos.csv). Linhas repetidas do mesmo composto são marcadas como duplicatas.</t>
        </is>
      </c>
    </row>
    <row r="9" ht="30" customHeight="1">
      <c r="B9" s="4" t="inlineStr">
        <is>
          <t>4. Curar</t>
        </is>
      </c>
      <c r="C9" s="5" t="inlineStr">
        <is>
          <t>Aba 3_Curadoria: cada composto único recebe classe, categoria A–F, grupo isomérico, nível MSI, justificativa e referências (dados/base_curadoria.csv).</t>
        </is>
      </c>
    </row>
    <row r="10" ht="15" customHeight="1">
      <c r="B10" s="4" t="inlineStr">
        <is>
          <t>5. Verificar</t>
        </is>
      </c>
      <c r="C10" s="5" t="inlineStr">
        <is>
          <t>Procura os marcadores esperados da espécie e gera os alertas listados abaixo.</t>
        </is>
      </c>
    </row>
    <row r="11" ht="30" customHeight="1">
      <c r="B11" s="4" t="inlineStr">
        <is>
          <t>6. Resumir</t>
        </is>
      </c>
      <c r="C11" s="5" t="inlineStr">
        <is>
          <t>Aba 4_Resumo: contagens por categoria e classe, calculadas por fórmula. Se você mudar uma categoria na 3_Curadoria, o resumo se atualiza.</t>
        </is>
      </c>
    </row>
    <row r="13">
      <c r="B13" s="3" t="inlineStr">
        <is>
          <t>Categorias de plausibilidade</t>
        </is>
      </c>
    </row>
    <row r="14">
      <c r="B14" s="6" t="inlineStr">
        <is>
          <t>Categoria</t>
        </is>
      </c>
      <c r="C14" s="6" t="inlineStr">
        <is>
          <t>Significado</t>
        </is>
      </c>
      <c r="D14" s="6" t="inlineStr">
        <is>
          <t>Ação recomendada</t>
        </is>
      </c>
    </row>
    <row r="15">
      <c r="B15" s="7" t="inlineStr">
        <is>
          <t>A</t>
        </is>
      </c>
      <c r="C15" s="8" t="inlineStr">
        <is>
          <t>Relatado na espécie</t>
        </is>
      </c>
      <c r="D15" s="8" t="inlineStr">
        <is>
          <t>Manter</t>
        </is>
      </c>
    </row>
    <row r="16">
      <c r="B16" s="9" t="inlineStr">
        <is>
          <t>B</t>
        </is>
      </c>
      <c r="C16" s="10" t="inlineStr">
        <is>
          <t>Relatado no gênero ou em outras espécies da família</t>
        </is>
      </c>
      <c r="D16" s="10" t="inlineStr">
        <is>
          <t>Manter</t>
        </is>
      </c>
    </row>
    <row r="17">
      <c r="B17" s="11" t="inlineStr">
        <is>
          <t>C</t>
        </is>
      </c>
      <c r="C17" s="12" t="inlineStr">
        <is>
          <t>Metabólito primário/ubíquo em plantas — plausível</t>
        </is>
      </c>
      <c r="D17" s="12" t="inlineStr">
        <is>
          <t>Manter</t>
        </is>
      </c>
    </row>
    <row r="18">
      <c r="B18" s="13" t="inlineStr">
        <is>
          <t>D</t>
        </is>
      </c>
      <c r="C18" s="14" t="inlineStr">
        <is>
          <t>Natural e biossinteticamente possível, sem registro encontrado na família</t>
        </is>
      </c>
      <c r="D18" s="14" t="inlineStr">
        <is>
          <t>Manter com ressalva — confirmar com padrão</t>
        </is>
      </c>
    </row>
    <row r="19">
      <c r="B19" s="15" t="inlineStr">
        <is>
          <t>E</t>
        </is>
      </c>
      <c r="C19" s="16" t="inlineStr">
        <is>
          <t>Improvável na família (típico de outro táxon, microrganismo ou animal)</t>
        </is>
      </c>
      <c r="D19" s="16" t="inlineStr">
        <is>
          <t>Excluir ou reavaliar</t>
        </is>
      </c>
    </row>
    <row r="20">
      <c r="B20" s="17" t="inlineStr">
        <is>
          <t>F</t>
        </is>
      </c>
      <c r="C20" s="18" t="inlineStr">
        <is>
          <t>Contaminante, sintético, fármaco ou artefato analítico</t>
        </is>
      </c>
      <c r="D20" s="18" t="inlineStr">
        <is>
          <t>Excluir</t>
        </is>
      </c>
    </row>
    <row r="21">
      <c r="B21" s="19" t="inlineStr">
        <is>
          <t>P</t>
        </is>
      </c>
      <c r="C21" s="20" t="inlineStr">
        <is>
          <t>PENDENTE — composto sem curadoria na base de conhecimento</t>
        </is>
      </c>
      <c r="D21" s="20" t="inlineStr">
        <is>
          <t>Curar manualmente</t>
        </is>
      </c>
    </row>
    <row r="23">
      <c r="B23" s="3" t="inlineStr">
        <is>
          <t>Alertas e observações</t>
        </is>
      </c>
    </row>
    <row r="24" ht="45" customHeight="1">
      <c r="B24" s="5" t="inlineStr">
        <is>
          <t>• Ausências notáveis: Vanillin, Glucovanillin, Vanillic acid, 4-Hydroxybenzaldehyde, 4-Hydroxybenzoic acid, marcadores característicos de Vanilla planifolia, não aparecem na lista. Verificar o score de corte, outra exportação ou o tecido/extrato analisado.</t>
        </is>
      </c>
    </row>
    <row r="25" ht="15" customHeight="1">
      <c r="B25" s="5" t="inlineStr">
        <is>
          <t>• Há derivados de clorofila (feofórbido/feofitina), o que indica tecido verde (folha, caule ou vagem verde).</t>
        </is>
      </c>
    </row>
    <row r="26" ht="30" customHeight="1">
      <c r="B26" s="5" t="inlineStr">
        <is>
          <t>• Todas as anotações vêm de similaridade espectral em biblioteca, portanto são no máximo nível 2 do MSI (Sumner et al., 2007). Nível 1 exige padrão analítico com o mesmo tempo de retenção e o mesmo MS/MS.</t>
        </is>
      </c>
    </row>
    <row r="27" ht="15" customHeight="1">
      <c r="B27" s="5" t="inlineStr">
        <is>
          <t>• Recomenda-se rodar um branco de extração (solvente + vial) para confirmar os contaminantes da categoria F.</t>
        </is>
      </c>
    </row>
    <row r="28" ht="30" customHeight="1">
      <c r="B28" s="5" t="inlineStr">
        <is>
          <t>• 'Sem registro encontrado' não equivale a 'ausente na família'. Antes de excluir compostos D ou E, consultar LOTUS (lotus.naturalproducts.net) e KNApSAcK.</t>
        </is>
      </c>
    </row>
  </sheetData>
  <mergeCells count="5">
    <mergeCell ref="B28:D28"/>
    <mergeCell ref="B26:D26"/>
    <mergeCell ref="B27:D27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58" customWidth="1" min="3" max="3"/>
    <col width="36" customWidth="1" min="4" max="4"/>
    <col width="16" customWidth="1" min="5" max="5"/>
    <col width="1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" t="inlineStr">
        <is>
          <t>Resumo da curadoria</t>
        </is>
      </c>
    </row>
    <row r="4" ht="30" customHeight="1">
      <c r="B4" s="21" t="inlineStr">
        <is>
          <t>Categoria</t>
        </is>
      </c>
      <c r="C4" s="21" t="inlineStr">
        <is>
          <t>Plausibilidade</t>
        </is>
      </c>
      <c r="D4" s="21" t="inlineStr">
        <is>
          <t>Ação recomendada</t>
        </is>
      </c>
      <c r="E4" s="21" t="inlineStr">
        <is>
          <t>Compostos únicos</t>
        </is>
      </c>
      <c r="F4" s="21" t="inlineStr">
        <is>
          <t>Linhas da lista original</t>
        </is>
      </c>
      <c r="G4" s="21" t="inlineStr">
        <is>
          <t>% dos únicos</t>
        </is>
      </c>
    </row>
    <row r="5">
      <c r="B5" s="22" t="inlineStr">
        <is>
          <t>A</t>
        </is>
      </c>
      <c r="C5" s="22" t="inlineStr">
        <is>
          <t>Relatado na espécie</t>
        </is>
      </c>
      <c r="D5" s="22" t="inlineStr">
        <is>
          <t>Manter</t>
        </is>
      </c>
      <c r="E5" s="22">
        <f>COUNTIF('3_Curadoria'!$F$2:$F$109,B5)</f>
        <v/>
      </c>
      <c r="F5" s="22">
        <f>SUMIF('3_Curadoria'!$F$2:$F$109,B5,'3_Curadoria'!$D$2:$D$109)</f>
        <v/>
      </c>
      <c r="G5" s="23">
        <f>IF($E$12=0,0,E5/$E$12)</f>
        <v/>
      </c>
    </row>
    <row r="6">
      <c r="B6" s="24" t="inlineStr">
        <is>
          <t>B</t>
        </is>
      </c>
      <c r="C6" s="24" t="inlineStr">
        <is>
          <t>Relatado no gênero ou em outras espécies da família</t>
        </is>
      </c>
      <c r="D6" s="24" t="inlineStr">
        <is>
          <t>Manter</t>
        </is>
      </c>
      <c r="E6" s="24">
        <f>COUNTIF('3_Curadoria'!$F$2:$F$109,B6)</f>
        <v/>
      </c>
      <c r="F6" s="24">
        <f>SUMIF('3_Curadoria'!$F$2:$F$109,B6,'3_Curadoria'!$D$2:$D$109)</f>
        <v/>
      </c>
      <c r="G6" s="25">
        <f>IF($E$12=0,0,E6/$E$12)</f>
        <v/>
      </c>
    </row>
    <row r="7">
      <c r="B7" s="26" t="inlineStr">
        <is>
          <t>C</t>
        </is>
      </c>
      <c r="C7" s="26" t="inlineStr">
        <is>
          <t>Metabólito primário/ubíquo em plantas — plausível</t>
        </is>
      </c>
      <c r="D7" s="26" t="inlineStr">
        <is>
          <t>Manter</t>
        </is>
      </c>
      <c r="E7" s="26">
        <f>COUNTIF('3_Curadoria'!$F$2:$F$109,B7)</f>
        <v/>
      </c>
      <c r="F7" s="26">
        <f>SUMIF('3_Curadoria'!$F$2:$F$109,B7,'3_Curadoria'!$D$2:$D$109)</f>
        <v/>
      </c>
      <c r="G7" s="27">
        <f>IF($E$12=0,0,E7/$E$12)</f>
        <v/>
      </c>
    </row>
    <row r="8">
      <c r="B8" s="28" t="inlineStr">
        <is>
          <t>D</t>
        </is>
      </c>
      <c r="C8" s="28" t="inlineStr">
        <is>
          <t>Natural e biossinteticamente possível, sem registro encontrado na família</t>
        </is>
      </c>
      <c r="D8" s="28" t="inlineStr">
        <is>
          <t>Manter com ressalva — confirmar com padrão</t>
        </is>
      </c>
      <c r="E8" s="28">
        <f>COUNTIF('3_Curadoria'!$F$2:$F$109,B8)</f>
        <v/>
      </c>
      <c r="F8" s="28">
        <f>SUMIF('3_Curadoria'!$F$2:$F$109,B8,'3_Curadoria'!$D$2:$D$109)</f>
        <v/>
      </c>
      <c r="G8" s="29">
        <f>IF($E$12=0,0,E8/$E$12)</f>
        <v/>
      </c>
    </row>
    <row r="9">
      <c r="B9" s="30" t="inlineStr">
        <is>
          <t>E</t>
        </is>
      </c>
      <c r="C9" s="30" t="inlineStr">
        <is>
          <t>Improvável na família (típico de outro táxon, microrganismo ou animal)</t>
        </is>
      </c>
      <c r="D9" s="30" t="inlineStr">
        <is>
          <t>Excluir ou reavaliar</t>
        </is>
      </c>
      <c r="E9" s="30">
        <f>COUNTIF('3_Curadoria'!$F$2:$F$109,B9)</f>
        <v/>
      </c>
      <c r="F9" s="30">
        <f>SUMIF('3_Curadoria'!$F$2:$F$109,B9,'3_Curadoria'!$D$2:$D$109)</f>
        <v/>
      </c>
      <c r="G9" s="31">
        <f>IF($E$12=0,0,E9/$E$12)</f>
        <v/>
      </c>
    </row>
    <row r="10">
      <c r="B10" s="32" t="inlineStr">
        <is>
          <t>F</t>
        </is>
      </c>
      <c r="C10" s="32" t="inlineStr">
        <is>
          <t>Contaminante, sintético, fármaco ou artefato analítico</t>
        </is>
      </c>
      <c r="D10" s="32" t="inlineStr">
        <is>
          <t>Excluir</t>
        </is>
      </c>
      <c r="E10" s="32">
        <f>COUNTIF('3_Curadoria'!$F$2:$F$109,B10)</f>
        <v/>
      </c>
      <c r="F10" s="32">
        <f>SUMIF('3_Curadoria'!$F$2:$F$109,B10,'3_Curadoria'!$D$2:$D$109)</f>
        <v/>
      </c>
      <c r="G10" s="33">
        <f>IF($E$12=0,0,E10/$E$12)</f>
        <v/>
      </c>
    </row>
    <row r="11">
      <c r="B11" s="34" t="inlineStr">
        <is>
          <t>P</t>
        </is>
      </c>
      <c r="C11" s="34" t="inlineStr">
        <is>
          <t>PENDENTE — composto sem curadoria na base de conhecimento</t>
        </is>
      </c>
      <c r="D11" s="34" t="inlineStr">
        <is>
          <t>Curar manualmente</t>
        </is>
      </c>
      <c r="E11" s="34">
        <f>COUNTIF('3_Curadoria'!$F$2:$F$109,B11)</f>
        <v/>
      </c>
      <c r="F11" s="34">
        <f>SUMIF('3_Curadoria'!$F$2:$F$109,B11,'3_Curadoria'!$D$2:$D$109)</f>
        <v/>
      </c>
      <c r="G11" s="35">
        <f>IF($E$12=0,0,E11/$E$12)</f>
        <v/>
      </c>
    </row>
    <row r="12">
      <c r="B12" s="4" t="inlineStr">
        <is>
          <t>Total</t>
        </is>
      </c>
      <c r="E12" s="4">
        <f>SUM(E5:E11)</f>
        <v/>
      </c>
      <c r="F12" s="4">
        <f>SUM(F5:F11)</f>
        <v/>
      </c>
      <c r="G12" s="36">
        <f>SUM(G5:G11)</f>
        <v/>
      </c>
    </row>
    <row r="14">
      <c r="B14" s="3" t="inlineStr">
        <is>
          <t>Indicadores do ciclo de limpeza</t>
        </is>
      </c>
    </row>
    <row r="15">
      <c r="C15" s="2" t="inlineStr">
        <is>
          <t>Linhas na lista original</t>
        </is>
      </c>
      <c r="E15" s="4">
        <f>COUNTA('1_Bruto'!A2:A149)</f>
        <v/>
      </c>
    </row>
    <row r="16">
      <c r="C16" s="2" t="inlineStr">
        <is>
          <t>Compostos únicos após padronização</t>
        </is>
      </c>
      <c r="E16" s="4">
        <f>COUNTA('3_Curadoria'!B2:B109)</f>
        <v/>
      </c>
    </row>
    <row r="17">
      <c r="C17" s="2" t="inlineStr">
        <is>
          <t>Linhas redundantes (duplicatas)</t>
        </is>
      </c>
      <c r="E17" s="4">
        <f>COUNTIF('2_Limpo'!I2:I149,"Sim")</f>
        <v/>
      </c>
    </row>
    <row r="18">
      <c r="C18" s="2" t="inlineStr">
        <is>
          <t>Linhas com algum problema de qualidade</t>
        </is>
      </c>
      <c r="E18" s="4">
        <f>COUNTIF('2_Limpo'!G2:G149,"&lt;&gt;—")</f>
        <v/>
      </c>
    </row>
    <row r="19">
      <c r="C19" s="2" t="inlineStr">
        <is>
          <t>Compostos mantidos (A + B + C)</t>
        </is>
      </c>
      <c r="E19" s="4">
        <f>E5+E6+E7</f>
        <v/>
      </c>
    </row>
    <row r="20">
      <c r="C20" s="2" t="inlineStr">
        <is>
          <t>Compostos a confirmar (D)</t>
        </is>
      </c>
      <c r="E20" s="4">
        <f>E8</f>
        <v/>
      </c>
    </row>
    <row r="21">
      <c r="C21" s="2" t="inlineStr">
        <is>
          <t>Compostos a excluir/reavaliar (E + F)</t>
        </is>
      </c>
      <c r="E21" s="4">
        <f>E9+E10</f>
        <v/>
      </c>
    </row>
    <row r="22">
      <c r="C22" s="2" t="inlineStr">
        <is>
          <t>Compostos pendentes de curadoria (P)</t>
        </is>
      </c>
      <c r="E22" s="4">
        <f>E11</f>
        <v/>
      </c>
    </row>
    <row r="23">
      <c r="C23" s="2" t="inlineStr">
        <is>
          <t>Compostos em grupos isoméricos</t>
        </is>
      </c>
      <c r="E23" s="4">
        <f>COUNTIF('3_Curadoria'!I2:I109,"&lt;&gt;—")</f>
        <v/>
      </c>
    </row>
    <row r="25">
      <c r="B25" s="3" t="inlineStr">
        <is>
          <t>Compostos únicos por classe química e categoria</t>
        </is>
      </c>
    </row>
    <row r="26">
      <c r="C26" s="6" t="inlineStr">
        <is>
          <t>Classe química</t>
        </is>
      </c>
      <c r="D26" s="6" t="inlineStr">
        <is>
          <t>A</t>
        </is>
      </c>
      <c r="E26" s="6" t="inlineStr">
        <is>
          <t>B</t>
        </is>
      </c>
      <c r="F26" s="6" t="inlineStr">
        <is>
          <t>C</t>
        </is>
      </c>
      <c r="G26" s="6" t="inlineStr">
        <is>
          <t>D</t>
        </is>
      </c>
      <c r="H26" s="6" t="inlineStr">
        <is>
          <t>E</t>
        </is>
      </c>
      <c r="I26" s="6" t="inlineStr">
        <is>
          <t>F</t>
        </is>
      </c>
      <c r="J26" s="6" t="inlineStr">
        <is>
          <t>P</t>
        </is>
      </c>
      <c r="K26" s="6" t="inlineStr">
        <is>
          <t>Total</t>
        </is>
      </c>
    </row>
    <row r="27">
      <c r="C27" s="2" t="inlineStr">
        <is>
          <t>Acetofenona</t>
        </is>
      </c>
      <c r="D27" s="2">
        <f>COUNTIFS('3_Curadoria'!$C$2:$C$109,$C27,'3_Curadoria'!$F$2:$F$109,"A")</f>
        <v/>
      </c>
      <c r="E27" s="2">
        <f>COUNTIFS('3_Curadoria'!$C$2:$C$109,$C27,'3_Curadoria'!$F$2:$F$109,"B")</f>
        <v/>
      </c>
      <c r="F27" s="2">
        <f>COUNTIFS('3_Curadoria'!$C$2:$C$109,$C27,'3_Curadoria'!$F$2:$F$109,"C")</f>
        <v/>
      </c>
      <c r="G27" s="2">
        <f>COUNTIFS('3_Curadoria'!$C$2:$C$109,$C27,'3_Curadoria'!$F$2:$F$109,"D")</f>
        <v/>
      </c>
      <c r="H27" s="2">
        <f>COUNTIFS('3_Curadoria'!$C$2:$C$109,$C27,'3_Curadoria'!$F$2:$F$109,"E")</f>
        <v/>
      </c>
      <c r="I27" s="2">
        <f>COUNTIFS('3_Curadoria'!$C$2:$C$109,$C27,'3_Curadoria'!$F$2:$F$109,"F")</f>
        <v/>
      </c>
      <c r="J27" s="2">
        <f>COUNTIFS('3_Curadoria'!$C$2:$C$109,$C27,'3_Curadoria'!$F$2:$F$109,"P")</f>
        <v/>
      </c>
      <c r="K27" s="4">
        <f>SUM(D27:J27)</f>
        <v/>
      </c>
    </row>
    <row r="28">
      <c r="C28" s="2" t="inlineStr">
        <is>
          <t>Alcaloide bisbenzilisoquinolínico</t>
        </is>
      </c>
      <c r="D28" s="2">
        <f>COUNTIFS('3_Curadoria'!$C$2:$C$109,$C28,'3_Curadoria'!$F$2:$F$109,"A")</f>
        <v/>
      </c>
      <c r="E28" s="2">
        <f>COUNTIFS('3_Curadoria'!$C$2:$C$109,$C28,'3_Curadoria'!$F$2:$F$109,"B")</f>
        <v/>
      </c>
      <c r="F28" s="2">
        <f>COUNTIFS('3_Curadoria'!$C$2:$C$109,$C28,'3_Curadoria'!$F$2:$F$109,"C")</f>
        <v/>
      </c>
      <c r="G28" s="2">
        <f>COUNTIFS('3_Curadoria'!$C$2:$C$109,$C28,'3_Curadoria'!$F$2:$F$109,"D")</f>
        <v/>
      </c>
      <c r="H28" s="2">
        <f>COUNTIFS('3_Curadoria'!$C$2:$C$109,$C28,'3_Curadoria'!$F$2:$F$109,"E")</f>
        <v/>
      </c>
      <c r="I28" s="2">
        <f>COUNTIFS('3_Curadoria'!$C$2:$C$109,$C28,'3_Curadoria'!$F$2:$F$109,"F")</f>
        <v/>
      </c>
      <c r="J28" s="2">
        <f>COUNTIFS('3_Curadoria'!$C$2:$C$109,$C28,'3_Curadoria'!$F$2:$F$109,"P")</f>
        <v/>
      </c>
      <c r="K28" s="4">
        <f>SUM(D28:J28)</f>
        <v/>
      </c>
    </row>
    <row r="29">
      <c r="C29" s="2" t="inlineStr">
        <is>
          <t>Alcaloide purínico</t>
        </is>
      </c>
      <c r="D29" s="2">
        <f>COUNTIFS('3_Curadoria'!$C$2:$C$109,$C29,'3_Curadoria'!$F$2:$F$109,"A")</f>
        <v/>
      </c>
      <c r="E29" s="2">
        <f>COUNTIFS('3_Curadoria'!$C$2:$C$109,$C29,'3_Curadoria'!$F$2:$F$109,"B")</f>
        <v/>
      </c>
      <c r="F29" s="2">
        <f>COUNTIFS('3_Curadoria'!$C$2:$C$109,$C29,'3_Curadoria'!$F$2:$F$109,"C")</f>
        <v/>
      </c>
      <c r="G29" s="2">
        <f>COUNTIFS('3_Curadoria'!$C$2:$C$109,$C29,'3_Curadoria'!$F$2:$F$109,"D")</f>
        <v/>
      </c>
      <c r="H29" s="2">
        <f>COUNTIFS('3_Curadoria'!$C$2:$C$109,$C29,'3_Curadoria'!$F$2:$F$109,"E")</f>
        <v/>
      </c>
      <c r="I29" s="2">
        <f>COUNTIFS('3_Curadoria'!$C$2:$C$109,$C29,'3_Curadoria'!$F$2:$F$109,"F")</f>
        <v/>
      </c>
      <c r="J29" s="2">
        <f>COUNTIFS('3_Curadoria'!$C$2:$C$109,$C29,'3_Curadoria'!$F$2:$F$109,"P")</f>
        <v/>
      </c>
      <c r="K29" s="4">
        <f>SUM(D29:J29)</f>
        <v/>
      </c>
    </row>
    <row r="30">
      <c r="C30" s="2" t="inlineStr">
        <is>
          <t>Aldeído fenólico</t>
        </is>
      </c>
      <c r="D30" s="2">
        <f>COUNTIFS('3_Curadoria'!$C$2:$C$109,$C30,'3_Curadoria'!$F$2:$F$109,"A")</f>
        <v/>
      </c>
      <c r="E30" s="2">
        <f>COUNTIFS('3_Curadoria'!$C$2:$C$109,$C30,'3_Curadoria'!$F$2:$F$109,"B")</f>
        <v/>
      </c>
      <c r="F30" s="2">
        <f>COUNTIFS('3_Curadoria'!$C$2:$C$109,$C30,'3_Curadoria'!$F$2:$F$109,"C")</f>
        <v/>
      </c>
      <c r="G30" s="2">
        <f>COUNTIFS('3_Curadoria'!$C$2:$C$109,$C30,'3_Curadoria'!$F$2:$F$109,"D")</f>
        <v/>
      </c>
      <c r="H30" s="2">
        <f>COUNTIFS('3_Curadoria'!$C$2:$C$109,$C30,'3_Curadoria'!$F$2:$F$109,"E")</f>
        <v/>
      </c>
      <c r="I30" s="2">
        <f>COUNTIFS('3_Curadoria'!$C$2:$C$109,$C30,'3_Curadoria'!$F$2:$F$109,"F")</f>
        <v/>
      </c>
      <c r="J30" s="2">
        <f>COUNTIFS('3_Curadoria'!$C$2:$C$109,$C30,'3_Curadoria'!$F$2:$F$109,"P")</f>
        <v/>
      </c>
      <c r="K30" s="4">
        <f>SUM(D30:J30)</f>
        <v/>
      </c>
    </row>
    <row r="31">
      <c r="C31" s="2" t="inlineStr">
        <is>
          <t>Amida de ácido graxo</t>
        </is>
      </c>
      <c r="D31" s="2">
        <f>COUNTIFS('3_Curadoria'!$C$2:$C$109,$C31,'3_Curadoria'!$F$2:$F$109,"A")</f>
        <v/>
      </c>
      <c r="E31" s="2">
        <f>COUNTIFS('3_Curadoria'!$C$2:$C$109,$C31,'3_Curadoria'!$F$2:$F$109,"B")</f>
        <v/>
      </c>
      <c r="F31" s="2">
        <f>COUNTIFS('3_Curadoria'!$C$2:$C$109,$C31,'3_Curadoria'!$F$2:$F$109,"C")</f>
        <v/>
      </c>
      <c r="G31" s="2">
        <f>COUNTIFS('3_Curadoria'!$C$2:$C$109,$C31,'3_Curadoria'!$F$2:$F$109,"D")</f>
        <v/>
      </c>
      <c r="H31" s="2">
        <f>COUNTIFS('3_Curadoria'!$C$2:$C$109,$C31,'3_Curadoria'!$F$2:$F$109,"E")</f>
        <v/>
      </c>
      <c r="I31" s="2">
        <f>COUNTIFS('3_Curadoria'!$C$2:$C$109,$C31,'3_Curadoria'!$F$2:$F$109,"F")</f>
        <v/>
      </c>
      <c r="J31" s="2">
        <f>COUNTIFS('3_Curadoria'!$C$2:$C$109,$C31,'3_Curadoria'!$F$2:$F$109,"P")</f>
        <v/>
      </c>
      <c r="K31" s="4">
        <f>SUM(D31:J31)</f>
        <v/>
      </c>
    </row>
    <row r="32">
      <c r="C32" s="2" t="inlineStr">
        <is>
          <t>Amina (estabilizante de polímero)</t>
        </is>
      </c>
      <c r="D32" s="2">
        <f>COUNTIFS('3_Curadoria'!$C$2:$C$109,$C32,'3_Curadoria'!$F$2:$F$109,"A")</f>
        <v/>
      </c>
      <c r="E32" s="2">
        <f>COUNTIFS('3_Curadoria'!$C$2:$C$109,$C32,'3_Curadoria'!$F$2:$F$109,"B")</f>
        <v/>
      </c>
      <c r="F32" s="2">
        <f>COUNTIFS('3_Curadoria'!$C$2:$C$109,$C32,'3_Curadoria'!$F$2:$F$109,"C")</f>
        <v/>
      </c>
      <c r="G32" s="2">
        <f>COUNTIFS('3_Curadoria'!$C$2:$C$109,$C32,'3_Curadoria'!$F$2:$F$109,"D")</f>
        <v/>
      </c>
      <c r="H32" s="2">
        <f>COUNTIFS('3_Curadoria'!$C$2:$C$109,$C32,'3_Curadoria'!$F$2:$F$109,"E")</f>
        <v/>
      </c>
      <c r="I32" s="2">
        <f>COUNTIFS('3_Curadoria'!$C$2:$C$109,$C32,'3_Curadoria'!$F$2:$F$109,"F")</f>
        <v/>
      </c>
      <c r="J32" s="2">
        <f>COUNTIFS('3_Curadoria'!$C$2:$C$109,$C32,'3_Curadoria'!$F$2:$F$109,"P")</f>
        <v/>
      </c>
      <c r="K32" s="4">
        <f>SUM(D32:J32)</f>
        <v/>
      </c>
    </row>
    <row r="33">
      <c r="C33" s="2" t="inlineStr">
        <is>
          <t>Amina aromática</t>
        </is>
      </c>
      <c r="D33" s="2">
        <f>COUNTIFS('3_Curadoria'!$C$2:$C$109,$C33,'3_Curadoria'!$F$2:$F$109,"A")</f>
        <v/>
      </c>
      <c r="E33" s="2">
        <f>COUNTIFS('3_Curadoria'!$C$2:$C$109,$C33,'3_Curadoria'!$F$2:$F$109,"B")</f>
        <v/>
      </c>
      <c r="F33" s="2">
        <f>COUNTIFS('3_Curadoria'!$C$2:$C$109,$C33,'3_Curadoria'!$F$2:$F$109,"C")</f>
        <v/>
      </c>
      <c r="G33" s="2">
        <f>COUNTIFS('3_Curadoria'!$C$2:$C$109,$C33,'3_Curadoria'!$F$2:$F$109,"D")</f>
        <v/>
      </c>
      <c r="H33" s="2">
        <f>COUNTIFS('3_Curadoria'!$C$2:$C$109,$C33,'3_Curadoria'!$F$2:$F$109,"E")</f>
        <v/>
      </c>
      <c r="I33" s="2">
        <f>COUNTIFS('3_Curadoria'!$C$2:$C$109,$C33,'3_Curadoria'!$F$2:$F$109,"F")</f>
        <v/>
      </c>
      <c r="J33" s="2">
        <f>COUNTIFS('3_Curadoria'!$C$2:$C$109,$C33,'3_Curadoria'!$F$2:$F$109,"P")</f>
        <v/>
      </c>
      <c r="K33" s="4">
        <f>SUM(D33:J33)</f>
        <v/>
      </c>
    </row>
    <row r="34">
      <c r="C34" s="2" t="inlineStr">
        <is>
          <t>Amina industrial</t>
        </is>
      </c>
      <c r="D34" s="2">
        <f>COUNTIFS('3_Curadoria'!$C$2:$C$109,$C34,'3_Curadoria'!$F$2:$F$109,"A")</f>
        <v/>
      </c>
      <c r="E34" s="2">
        <f>COUNTIFS('3_Curadoria'!$C$2:$C$109,$C34,'3_Curadoria'!$F$2:$F$109,"B")</f>
        <v/>
      </c>
      <c r="F34" s="2">
        <f>COUNTIFS('3_Curadoria'!$C$2:$C$109,$C34,'3_Curadoria'!$F$2:$F$109,"C")</f>
        <v/>
      </c>
      <c r="G34" s="2">
        <f>COUNTIFS('3_Curadoria'!$C$2:$C$109,$C34,'3_Curadoria'!$F$2:$F$109,"D")</f>
        <v/>
      </c>
      <c r="H34" s="2">
        <f>COUNTIFS('3_Curadoria'!$C$2:$C$109,$C34,'3_Curadoria'!$F$2:$F$109,"E")</f>
        <v/>
      </c>
      <c r="I34" s="2">
        <f>COUNTIFS('3_Curadoria'!$C$2:$C$109,$C34,'3_Curadoria'!$F$2:$F$109,"F")</f>
        <v/>
      </c>
      <c r="J34" s="2">
        <f>COUNTIFS('3_Curadoria'!$C$2:$C$109,$C34,'3_Curadoria'!$F$2:$F$109,"P")</f>
        <v/>
      </c>
      <c r="K34" s="4">
        <f>SUM(D34:J34)</f>
        <v/>
      </c>
    </row>
    <row r="35">
      <c r="C35" s="2" t="inlineStr">
        <is>
          <t>Amina policíclica</t>
        </is>
      </c>
      <c r="D35" s="2">
        <f>COUNTIFS('3_Curadoria'!$C$2:$C$109,$C35,'3_Curadoria'!$F$2:$F$109,"A")</f>
        <v/>
      </c>
      <c r="E35" s="2">
        <f>COUNTIFS('3_Curadoria'!$C$2:$C$109,$C35,'3_Curadoria'!$F$2:$F$109,"B")</f>
        <v/>
      </c>
      <c r="F35" s="2">
        <f>COUNTIFS('3_Curadoria'!$C$2:$C$109,$C35,'3_Curadoria'!$F$2:$F$109,"C")</f>
        <v/>
      </c>
      <c r="G35" s="2">
        <f>COUNTIFS('3_Curadoria'!$C$2:$C$109,$C35,'3_Curadoria'!$F$2:$F$109,"D")</f>
        <v/>
      </c>
      <c r="H35" s="2">
        <f>COUNTIFS('3_Curadoria'!$C$2:$C$109,$C35,'3_Curadoria'!$F$2:$F$109,"E")</f>
        <v/>
      </c>
      <c r="I35" s="2">
        <f>COUNTIFS('3_Curadoria'!$C$2:$C$109,$C35,'3_Curadoria'!$F$2:$F$109,"F")</f>
        <v/>
      </c>
      <c r="J35" s="2">
        <f>COUNTIFS('3_Curadoria'!$C$2:$C$109,$C35,'3_Curadoria'!$F$2:$F$109,"P")</f>
        <v/>
      </c>
      <c r="K35" s="4">
        <f>SUM(D35:J35)</f>
        <v/>
      </c>
    </row>
    <row r="36">
      <c r="C36" s="2" t="inlineStr">
        <is>
          <t>Amina quaternária</t>
        </is>
      </c>
      <c r="D36" s="2">
        <f>COUNTIFS('3_Curadoria'!$C$2:$C$109,$C36,'3_Curadoria'!$F$2:$F$109,"A")</f>
        <v/>
      </c>
      <c r="E36" s="2">
        <f>COUNTIFS('3_Curadoria'!$C$2:$C$109,$C36,'3_Curadoria'!$F$2:$F$109,"B")</f>
        <v/>
      </c>
      <c r="F36" s="2">
        <f>COUNTIFS('3_Curadoria'!$C$2:$C$109,$C36,'3_Curadoria'!$F$2:$F$109,"C")</f>
        <v/>
      </c>
      <c r="G36" s="2">
        <f>COUNTIFS('3_Curadoria'!$C$2:$C$109,$C36,'3_Curadoria'!$F$2:$F$109,"D")</f>
        <v/>
      </c>
      <c r="H36" s="2">
        <f>COUNTIFS('3_Curadoria'!$C$2:$C$109,$C36,'3_Curadoria'!$F$2:$F$109,"E")</f>
        <v/>
      </c>
      <c r="I36" s="2">
        <f>COUNTIFS('3_Curadoria'!$C$2:$C$109,$C36,'3_Curadoria'!$F$2:$F$109,"F")</f>
        <v/>
      </c>
      <c r="J36" s="2">
        <f>COUNTIFS('3_Curadoria'!$C$2:$C$109,$C36,'3_Curadoria'!$F$2:$F$109,"P")</f>
        <v/>
      </c>
      <c r="K36" s="4">
        <f>SUM(D36:J36)</f>
        <v/>
      </c>
    </row>
    <row r="37">
      <c r="C37" s="2" t="inlineStr">
        <is>
          <t>Aminoaçúcar</t>
        </is>
      </c>
      <c r="D37" s="2">
        <f>COUNTIFS('3_Curadoria'!$C$2:$C$109,$C37,'3_Curadoria'!$F$2:$F$109,"A")</f>
        <v/>
      </c>
      <c r="E37" s="2">
        <f>COUNTIFS('3_Curadoria'!$C$2:$C$109,$C37,'3_Curadoria'!$F$2:$F$109,"B")</f>
        <v/>
      </c>
      <c r="F37" s="2">
        <f>COUNTIFS('3_Curadoria'!$C$2:$C$109,$C37,'3_Curadoria'!$F$2:$F$109,"C")</f>
        <v/>
      </c>
      <c r="G37" s="2">
        <f>COUNTIFS('3_Curadoria'!$C$2:$C$109,$C37,'3_Curadoria'!$F$2:$F$109,"D")</f>
        <v/>
      </c>
      <c r="H37" s="2">
        <f>COUNTIFS('3_Curadoria'!$C$2:$C$109,$C37,'3_Curadoria'!$F$2:$F$109,"E")</f>
        <v/>
      </c>
      <c r="I37" s="2">
        <f>COUNTIFS('3_Curadoria'!$C$2:$C$109,$C37,'3_Curadoria'!$F$2:$F$109,"F")</f>
        <v/>
      </c>
      <c r="J37" s="2">
        <f>COUNTIFS('3_Curadoria'!$C$2:$C$109,$C37,'3_Curadoria'!$F$2:$F$109,"P")</f>
        <v/>
      </c>
      <c r="K37" s="4">
        <f>SUM(D37:J37)</f>
        <v/>
      </c>
    </row>
    <row r="38">
      <c r="C38" s="2" t="inlineStr">
        <is>
          <t>Aminoácido</t>
        </is>
      </c>
      <c r="D38" s="2">
        <f>COUNTIFS('3_Curadoria'!$C$2:$C$109,$C38,'3_Curadoria'!$F$2:$F$109,"A")</f>
        <v/>
      </c>
      <c r="E38" s="2">
        <f>COUNTIFS('3_Curadoria'!$C$2:$C$109,$C38,'3_Curadoria'!$F$2:$F$109,"B")</f>
        <v/>
      </c>
      <c r="F38" s="2">
        <f>COUNTIFS('3_Curadoria'!$C$2:$C$109,$C38,'3_Curadoria'!$F$2:$F$109,"C")</f>
        <v/>
      </c>
      <c r="G38" s="2">
        <f>COUNTIFS('3_Curadoria'!$C$2:$C$109,$C38,'3_Curadoria'!$F$2:$F$109,"D")</f>
        <v/>
      </c>
      <c r="H38" s="2">
        <f>COUNTIFS('3_Curadoria'!$C$2:$C$109,$C38,'3_Curadoria'!$F$2:$F$109,"E")</f>
        <v/>
      </c>
      <c r="I38" s="2">
        <f>COUNTIFS('3_Curadoria'!$C$2:$C$109,$C38,'3_Curadoria'!$F$2:$F$109,"F")</f>
        <v/>
      </c>
      <c r="J38" s="2">
        <f>COUNTIFS('3_Curadoria'!$C$2:$C$109,$C38,'3_Curadoria'!$F$2:$F$109,"P")</f>
        <v/>
      </c>
      <c r="K38" s="4">
        <f>SUM(D38:J38)</f>
        <v/>
      </c>
    </row>
    <row r="39">
      <c r="C39" s="2" t="inlineStr">
        <is>
          <t>Aminoácido indólico</t>
        </is>
      </c>
      <c r="D39" s="2">
        <f>COUNTIFS('3_Curadoria'!$C$2:$C$109,$C39,'3_Curadoria'!$F$2:$F$109,"A")</f>
        <v/>
      </c>
      <c r="E39" s="2">
        <f>COUNTIFS('3_Curadoria'!$C$2:$C$109,$C39,'3_Curadoria'!$F$2:$F$109,"B")</f>
        <v/>
      </c>
      <c r="F39" s="2">
        <f>COUNTIFS('3_Curadoria'!$C$2:$C$109,$C39,'3_Curadoria'!$F$2:$F$109,"C")</f>
        <v/>
      </c>
      <c r="G39" s="2">
        <f>COUNTIFS('3_Curadoria'!$C$2:$C$109,$C39,'3_Curadoria'!$F$2:$F$109,"D")</f>
        <v/>
      </c>
      <c r="H39" s="2">
        <f>COUNTIFS('3_Curadoria'!$C$2:$C$109,$C39,'3_Curadoria'!$F$2:$F$109,"E")</f>
        <v/>
      </c>
      <c r="I39" s="2">
        <f>COUNTIFS('3_Curadoria'!$C$2:$C$109,$C39,'3_Curadoria'!$F$2:$F$109,"F")</f>
        <v/>
      </c>
      <c r="J39" s="2">
        <f>COUNTIFS('3_Curadoria'!$C$2:$C$109,$C39,'3_Curadoria'!$F$2:$F$109,"P")</f>
        <v/>
      </c>
      <c r="K39" s="4">
        <f>SUM(D39:J39)</f>
        <v/>
      </c>
    </row>
    <row r="40">
      <c r="C40" s="2" t="inlineStr">
        <is>
          <t>Aminoácido modificado</t>
        </is>
      </c>
      <c r="D40" s="2">
        <f>COUNTIFS('3_Curadoria'!$C$2:$C$109,$C40,'3_Curadoria'!$F$2:$F$109,"A")</f>
        <v/>
      </c>
      <c r="E40" s="2">
        <f>COUNTIFS('3_Curadoria'!$C$2:$C$109,$C40,'3_Curadoria'!$F$2:$F$109,"B")</f>
        <v/>
      </c>
      <c r="F40" s="2">
        <f>COUNTIFS('3_Curadoria'!$C$2:$C$109,$C40,'3_Curadoria'!$F$2:$F$109,"C")</f>
        <v/>
      </c>
      <c r="G40" s="2">
        <f>COUNTIFS('3_Curadoria'!$C$2:$C$109,$C40,'3_Curadoria'!$F$2:$F$109,"D")</f>
        <v/>
      </c>
      <c r="H40" s="2">
        <f>COUNTIFS('3_Curadoria'!$C$2:$C$109,$C40,'3_Curadoria'!$F$2:$F$109,"E")</f>
        <v/>
      </c>
      <c r="I40" s="2">
        <f>COUNTIFS('3_Curadoria'!$C$2:$C$109,$C40,'3_Curadoria'!$F$2:$F$109,"F")</f>
        <v/>
      </c>
      <c r="J40" s="2">
        <f>COUNTIFS('3_Curadoria'!$C$2:$C$109,$C40,'3_Curadoria'!$F$2:$F$109,"P")</f>
        <v/>
      </c>
      <c r="K40" s="4">
        <f>SUM(D40:J40)</f>
        <v/>
      </c>
    </row>
    <row r="41">
      <c r="C41" s="2" t="inlineStr">
        <is>
          <t>Aminoácido não proteinogênico</t>
        </is>
      </c>
      <c r="D41" s="2">
        <f>COUNTIFS('3_Curadoria'!$C$2:$C$109,$C41,'3_Curadoria'!$F$2:$F$109,"A")</f>
        <v/>
      </c>
      <c r="E41" s="2">
        <f>COUNTIFS('3_Curadoria'!$C$2:$C$109,$C41,'3_Curadoria'!$F$2:$F$109,"B")</f>
        <v/>
      </c>
      <c r="F41" s="2">
        <f>COUNTIFS('3_Curadoria'!$C$2:$C$109,$C41,'3_Curadoria'!$F$2:$F$109,"C")</f>
        <v/>
      </c>
      <c r="G41" s="2">
        <f>COUNTIFS('3_Curadoria'!$C$2:$C$109,$C41,'3_Curadoria'!$F$2:$F$109,"D")</f>
        <v/>
      </c>
      <c r="H41" s="2">
        <f>COUNTIFS('3_Curadoria'!$C$2:$C$109,$C41,'3_Curadoria'!$F$2:$F$109,"E")</f>
        <v/>
      </c>
      <c r="I41" s="2">
        <f>COUNTIFS('3_Curadoria'!$C$2:$C$109,$C41,'3_Curadoria'!$F$2:$F$109,"F")</f>
        <v/>
      </c>
      <c r="J41" s="2">
        <f>COUNTIFS('3_Curadoria'!$C$2:$C$109,$C41,'3_Curadoria'!$F$2:$F$109,"P")</f>
        <v/>
      </c>
      <c r="K41" s="4">
        <f>SUM(D41:J41)</f>
        <v/>
      </c>
    </row>
    <row r="42">
      <c r="C42" s="2" t="inlineStr">
        <is>
          <t>Açúcar (hexose)</t>
        </is>
      </c>
      <c r="D42" s="2">
        <f>COUNTIFS('3_Curadoria'!$C$2:$C$109,$C42,'3_Curadoria'!$F$2:$F$109,"A")</f>
        <v/>
      </c>
      <c r="E42" s="2">
        <f>COUNTIFS('3_Curadoria'!$C$2:$C$109,$C42,'3_Curadoria'!$F$2:$F$109,"B")</f>
        <v/>
      </c>
      <c r="F42" s="2">
        <f>COUNTIFS('3_Curadoria'!$C$2:$C$109,$C42,'3_Curadoria'!$F$2:$F$109,"C")</f>
        <v/>
      </c>
      <c r="G42" s="2">
        <f>COUNTIFS('3_Curadoria'!$C$2:$C$109,$C42,'3_Curadoria'!$F$2:$F$109,"D")</f>
        <v/>
      </c>
      <c r="H42" s="2">
        <f>COUNTIFS('3_Curadoria'!$C$2:$C$109,$C42,'3_Curadoria'!$F$2:$F$109,"E")</f>
        <v/>
      </c>
      <c r="I42" s="2">
        <f>COUNTIFS('3_Curadoria'!$C$2:$C$109,$C42,'3_Curadoria'!$F$2:$F$109,"F")</f>
        <v/>
      </c>
      <c r="J42" s="2">
        <f>COUNTIFS('3_Curadoria'!$C$2:$C$109,$C42,'3_Curadoria'!$F$2:$F$109,"P")</f>
        <v/>
      </c>
      <c r="K42" s="4">
        <f>SUM(D42:J42)</f>
        <v/>
      </c>
    </row>
    <row r="43">
      <c r="C43" s="2" t="inlineStr">
        <is>
          <t>Açúcar (pentose)</t>
        </is>
      </c>
      <c r="D43" s="2">
        <f>COUNTIFS('3_Curadoria'!$C$2:$C$109,$C43,'3_Curadoria'!$F$2:$F$109,"A")</f>
        <v/>
      </c>
      <c r="E43" s="2">
        <f>COUNTIFS('3_Curadoria'!$C$2:$C$109,$C43,'3_Curadoria'!$F$2:$F$109,"B")</f>
        <v/>
      </c>
      <c r="F43" s="2">
        <f>COUNTIFS('3_Curadoria'!$C$2:$C$109,$C43,'3_Curadoria'!$F$2:$F$109,"C")</f>
        <v/>
      </c>
      <c r="G43" s="2">
        <f>COUNTIFS('3_Curadoria'!$C$2:$C$109,$C43,'3_Curadoria'!$F$2:$F$109,"D")</f>
        <v/>
      </c>
      <c r="H43" s="2">
        <f>COUNTIFS('3_Curadoria'!$C$2:$C$109,$C43,'3_Curadoria'!$F$2:$F$109,"E")</f>
        <v/>
      </c>
      <c r="I43" s="2">
        <f>COUNTIFS('3_Curadoria'!$C$2:$C$109,$C43,'3_Curadoria'!$F$2:$F$109,"F")</f>
        <v/>
      </c>
      <c r="J43" s="2">
        <f>COUNTIFS('3_Curadoria'!$C$2:$C$109,$C43,'3_Curadoria'!$F$2:$F$109,"P")</f>
        <v/>
      </c>
      <c r="K43" s="4">
        <f>SUM(D43:J43)</f>
        <v/>
      </c>
    </row>
    <row r="44">
      <c r="C44" s="2" t="inlineStr">
        <is>
          <t>Barbiturato sintético</t>
        </is>
      </c>
      <c r="D44" s="2">
        <f>COUNTIFS('3_Curadoria'!$C$2:$C$109,$C44,'3_Curadoria'!$F$2:$F$109,"A")</f>
        <v/>
      </c>
      <c r="E44" s="2">
        <f>COUNTIFS('3_Curadoria'!$C$2:$C$109,$C44,'3_Curadoria'!$F$2:$F$109,"B")</f>
        <v/>
      </c>
      <c r="F44" s="2">
        <f>COUNTIFS('3_Curadoria'!$C$2:$C$109,$C44,'3_Curadoria'!$F$2:$F$109,"C")</f>
        <v/>
      </c>
      <c r="G44" s="2">
        <f>COUNTIFS('3_Curadoria'!$C$2:$C$109,$C44,'3_Curadoria'!$F$2:$F$109,"D")</f>
        <v/>
      </c>
      <c r="H44" s="2">
        <f>COUNTIFS('3_Curadoria'!$C$2:$C$109,$C44,'3_Curadoria'!$F$2:$F$109,"E")</f>
        <v/>
      </c>
      <c r="I44" s="2">
        <f>COUNTIFS('3_Curadoria'!$C$2:$C$109,$C44,'3_Curadoria'!$F$2:$F$109,"F")</f>
        <v/>
      </c>
      <c r="J44" s="2">
        <f>COUNTIFS('3_Curadoria'!$C$2:$C$109,$C44,'3_Curadoria'!$F$2:$F$109,"P")</f>
        <v/>
      </c>
      <c r="K44" s="4">
        <f>SUM(D44:J44)</f>
        <v/>
      </c>
    </row>
    <row r="45">
      <c r="C45" s="2" t="inlineStr">
        <is>
          <t>Cardenolídeo (esteroide)</t>
        </is>
      </c>
      <c r="D45" s="2">
        <f>COUNTIFS('3_Curadoria'!$C$2:$C$109,$C45,'3_Curadoria'!$F$2:$F$109,"A")</f>
        <v/>
      </c>
      <c r="E45" s="2">
        <f>COUNTIFS('3_Curadoria'!$C$2:$C$109,$C45,'3_Curadoria'!$F$2:$F$109,"B")</f>
        <v/>
      </c>
      <c r="F45" s="2">
        <f>COUNTIFS('3_Curadoria'!$C$2:$C$109,$C45,'3_Curadoria'!$F$2:$F$109,"C")</f>
        <v/>
      </c>
      <c r="G45" s="2">
        <f>COUNTIFS('3_Curadoria'!$C$2:$C$109,$C45,'3_Curadoria'!$F$2:$F$109,"D")</f>
        <v/>
      </c>
      <c r="H45" s="2">
        <f>COUNTIFS('3_Curadoria'!$C$2:$C$109,$C45,'3_Curadoria'!$F$2:$F$109,"E")</f>
        <v/>
      </c>
      <c r="I45" s="2">
        <f>COUNTIFS('3_Curadoria'!$C$2:$C$109,$C45,'3_Curadoria'!$F$2:$F$109,"F")</f>
        <v/>
      </c>
      <c r="J45" s="2">
        <f>COUNTIFS('3_Curadoria'!$C$2:$C$109,$C45,'3_Curadoria'!$F$2:$F$109,"P")</f>
        <v/>
      </c>
      <c r="K45" s="4">
        <f>SUM(D45:J45)</f>
        <v/>
      </c>
    </row>
    <row r="46">
      <c r="C46" s="2" t="inlineStr">
        <is>
          <t>Cetoácido</t>
        </is>
      </c>
      <c r="D46" s="2">
        <f>COUNTIFS('3_Curadoria'!$C$2:$C$109,$C46,'3_Curadoria'!$F$2:$F$109,"A")</f>
        <v/>
      </c>
      <c r="E46" s="2">
        <f>COUNTIFS('3_Curadoria'!$C$2:$C$109,$C46,'3_Curadoria'!$F$2:$F$109,"B")</f>
        <v/>
      </c>
      <c r="F46" s="2">
        <f>COUNTIFS('3_Curadoria'!$C$2:$C$109,$C46,'3_Curadoria'!$F$2:$F$109,"C")</f>
        <v/>
      </c>
      <c r="G46" s="2">
        <f>COUNTIFS('3_Curadoria'!$C$2:$C$109,$C46,'3_Curadoria'!$F$2:$F$109,"D")</f>
        <v/>
      </c>
      <c r="H46" s="2">
        <f>COUNTIFS('3_Curadoria'!$C$2:$C$109,$C46,'3_Curadoria'!$F$2:$F$109,"E")</f>
        <v/>
      </c>
      <c r="I46" s="2">
        <f>COUNTIFS('3_Curadoria'!$C$2:$C$109,$C46,'3_Curadoria'!$F$2:$F$109,"F")</f>
        <v/>
      </c>
      <c r="J46" s="2">
        <f>COUNTIFS('3_Curadoria'!$C$2:$C$109,$C46,'3_Curadoria'!$F$2:$F$109,"P")</f>
        <v/>
      </c>
      <c r="K46" s="4">
        <f>SUM(D46:J46)</f>
        <v/>
      </c>
    </row>
    <row r="47">
      <c r="C47" s="2" t="inlineStr">
        <is>
          <t>Cofator (precursor de biotina)</t>
        </is>
      </c>
      <c r="D47" s="2">
        <f>COUNTIFS('3_Curadoria'!$C$2:$C$109,$C47,'3_Curadoria'!$F$2:$F$109,"A")</f>
        <v/>
      </c>
      <c r="E47" s="2">
        <f>COUNTIFS('3_Curadoria'!$C$2:$C$109,$C47,'3_Curadoria'!$F$2:$F$109,"B")</f>
        <v/>
      </c>
      <c r="F47" s="2">
        <f>COUNTIFS('3_Curadoria'!$C$2:$C$109,$C47,'3_Curadoria'!$F$2:$F$109,"C")</f>
        <v/>
      </c>
      <c r="G47" s="2">
        <f>COUNTIFS('3_Curadoria'!$C$2:$C$109,$C47,'3_Curadoria'!$F$2:$F$109,"D")</f>
        <v/>
      </c>
      <c r="H47" s="2">
        <f>COUNTIFS('3_Curadoria'!$C$2:$C$109,$C47,'3_Curadoria'!$F$2:$F$109,"E")</f>
        <v/>
      </c>
      <c r="I47" s="2">
        <f>COUNTIFS('3_Curadoria'!$C$2:$C$109,$C47,'3_Curadoria'!$F$2:$F$109,"F")</f>
        <v/>
      </c>
      <c r="J47" s="2">
        <f>COUNTIFS('3_Curadoria'!$C$2:$C$109,$C47,'3_Curadoria'!$F$2:$F$109,"P")</f>
        <v/>
      </c>
      <c r="K47" s="4">
        <f>SUM(D47:J47)</f>
        <v/>
      </c>
    </row>
    <row r="48">
      <c r="C48" s="2" t="inlineStr">
        <is>
          <t>Contaminante</t>
        </is>
      </c>
      <c r="D48" s="2">
        <f>COUNTIFS('3_Curadoria'!$C$2:$C$109,$C48,'3_Curadoria'!$F$2:$F$109,"A")</f>
        <v/>
      </c>
      <c r="E48" s="2">
        <f>COUNTIFS('3_Curadoria'!$C$2:$C$109,$C48,'3_Curadoria'!$F$2:$F$109,"B")</f>
        <v/>
      </c>
      <c r="F48" s="2">
        <f>COUNTIFS('3_Curadoria'!$C$2:$C$109,$C48,'3_Curadoria'!$F$2:$F$109,"C")</f>
        <v/>
      </c>
      <c r="G48" s="2">
        <f>COUNTIFS('3_Curadoria'!$C$2:$C$109,$C48,'3_Curadoria'!$F$2:$F$109,"D")</f>
        <v/>
      </c>
      <c r="H48" s="2">
        <f>COUNTIFS('3_Curadoria'!$C$2:$C$109,$C48,'3_Curadoria'!$F$2:$F$109,"E")</f>
        <v/>
      </c>
      <c r="I48" s="2">
        <f>COUNTIFS('3_Curadoria'!$C$2:$C$109,$C48,'3_Curadoria'!$F$2:$F$109,"F")</f>
        <v/>
      </c>
      <c r="J48" s="2">
        <f>COUNTIFS('3_Curadoria'!$C$2:$C$109,$C48,'3_Curadoria'!$F$2:$F$109,"P")</f>
        <v/>
      </c>
      <c r="K48" s="4">
        <f>SUM(D48:J48)</f>
        <v/>
      </c>
    </row>
    <row r="49">
      <c r="C49" s="2" t="inlineStr">
        <is>
          <t>Cumarina</t>
        </is>
      </c>
      <c r="D49" s="2">
        <f>COUNTIFS('3_Curadoria'!$C$2:$C$109,$C49,'3_Curadoria'!$F$2:$F$109,"A")</f>
        <v/>
      </c>
      <c r="E49" s="2">
        <f>COUNTIFS('3_Curadoria'!$C$2:$C$109,$C49,'3_Curadoria'!$F$2:$F$109,"B")</f>
        <v/>
      </c>
      <c r="F49" s="2">
        <f>COUNTIFS('3_Curadoria'!$C$2:$C$109,$C49,'3_Curadoria'!$F$2:$F$109,"C")</f>
        <v/>
      </c>
      <c r="G49" s="2">
        <f>COUNTIFS('3_Curadoria'!$C$2:$C$109,$C49,'3_Curadoria'!$F$2:$F$109,"D")</f>
        <v/>
      </c>
      <c r="H49" s="2">
        <f>COUNTIFS('3_Curadoria'!$C$2:$C$109,$C49,'3_Curadoria'!$F$2:$F$109,"E")</f>
        <v/>
      </c>
      <c r="I49" s="2">
        <f>COUNTIFS('3_Curadoria'!$C$2:$C$109,$C49,'3_Curadoria'!$F$2:$F$109,"F")</f>
        <v/>
      </c>
      <c r="J49" s="2">
        <f>COUNTIFS('3_Curadoria'!$C$2:$C$109,$C49,'3_Curadoria'!$F$2:$F$109,"P")</f>
        <v/>
      </c>
      <c r="K49" s="4">
        <f>SUM(D49:J49)</f>
        <v/>
      </c>
    </row>
    <row r="50">
      <c r="C50" s="2" t="inlineStr">
        <is>
          <t>Derivado de triptofano</t>
        </is>
      </c>
      <c r="D50" s="2">
        <f>COUNTIFS('3_Curadoria'!$C$2:$C$109,$C50,'3_Curadoria'!$F$2:$F$109,"A")</f>
        <v/>
      </c>
      <c r="E50" s="2">
        <f>COUNTIFS('3_Curadoria'!$C$2:$C$109,$C50,'3_Curadoria'!$F$2:$F$109,"B")</f>
        <v/>
      </c>
      <c r="F50" s="2">
        <f>COUNTIFS('3_Curadoria'!$C$2:$C$109,$C50,'3_Curadoria'!$F$2:$F$109,"C")</f>
        <v/>
      </c>
      <c r="G50" s="2">
        <f>COUNTIFS('3_Curadoria'!$C$2:$C$109,$C50,'3_Curadoria'!$F$2:$F$109,"D")</f>
        <v/>
      </c>
      <c r="H50" s="2">
        <f>COUNTIFS('3_Curadoria'!$C$2:$C$109,$C50,'3_Curadoria'!$F$2:$F$109,"E")</f>
        <v/>
      </c>
      <c r="I50" s="2">
        <f>COUNTIFS('3_Curadoria'!$C$2:$C$109,$C50,'3_Curadoria'!$F$2:$F$109,"F")</f>
        <v/>
      </c>
      <c r="J50" s="2">
        <f>COUNTIFS('3_Curadoria'!$C$2:$C$109,$C50,'3_Curadoria'!$F$2:$F$109,"P")</f>
        <v/>
      </c>
      <c r="K50" s="4">
        <f>SUM(D50:J50)</f>
        <v/>
      </c>
    </row>
    <row r="51">
      <c r="C51" s="2" t="inlineStr">
        <is>
          <t>Diarilheptanoide glicosilado</t>
        </is>
      </c>
      <c r="D51" s="2">
        <f>COUNTIFS('3_Curadoria'!$C$2:$C$109,$C51,'3_Curadoria'!$F$2:$F$109,"A")</f>
        <v/>
      </c>
      <c r="E51" s="2">
        <f>COUNTIFS('3_Curadoria'!$C$2:$C$109,$C51,'3_Curadoria'!$F$2:$F$109,"B")</f>
        <v/>
      </c>
      <c r="F51" s="2">
        <f>COUNTIFS('3_Curadoria'!$C$2:$C$109,$C51,'3_Curadoria'!$F$2:$F$109,"C")</f>
        <v/>
      </c>
      <c r="G51" s="2">
        <f>COUNTIFS('3_Curadoria'!$C$2:$C$109,$C51,'3_Curadoria'!$F$2:$F$109,"D")</f>
        <v/>
      </c>
      <c r="H51" s="2">
        <f>COUNTIFS('3_Curadoria'!$C$2:$C$109,$C51,'3_Curadoria'!$F$2:$F$109,"E")</f>
        <v/>
      </c>
      <c r="I51" s="2">
        <f>COUNTIFS('3_Curadoria'!$C$2:$C$109,$C51,'3_Curadoria'!$F$2:$F$109,"F")</f>
        <v/>
      </c>
      <c r="J51" s="2">
        <f>COUNTIFS('3_Curadoria'!$C$2:$C$109,$C51,'3_Curadoria'!$F$2:$F$109,"P")</f>
        <v/>
      </c>
      <c r="K51" s="4">
        <f>SUM(D51:J51)</f>
        <v/>
      </c>
    </row>
    <row r="52">
      <c r="C52" s="2" t="inlineStr">
        <is>
          <t>Dipeptídeo cíclico (DKP)</t>
        </is>
      </c>
      <c r="D52" s="2">
        <f>COUNTIFS('3_Curadoria'!$C$2:$C$109,$C52,'3_Curadoria'!$F$2:$F$109,"A")</f>
        <v/>
      </c>
      <c r="E52" s="2">
        <f>COUNTIFS('3_Curadoria'!$C$2:$C$109,$C52,'3_Curadoria'!$F$2:$F$109,"B")</f>
        <v/>
      </c>
      <c r="F52" s="2">
        <f>COUNTIFS('3_Curadoria'!$C$2:$C$109,$C52,'3_Curadoria'!$F$2:$F$109,"C")</f>
        <v/>
      </c>
      <c r="G52" s="2">
        <f>COUNTIFS('3_Curadoria'!$C$2:$C$109,$C52,'3_Curadoria'!$F$2:$F$109,"D")</f>
        <v/>
      </c>
      <c r="H52" s="2">
        <f>COUNTIFS('3_Curadoria'!$C$2:$C$109,$C52,'3_Curadoria'!$F$2:$F$109,"E")</f>
        <v/>
      </c>
      <c r="I52" s="2">
        <f>COUNTIFS('3_Curadoria'!$C$2:$C$109,$C52,'3_Curadoria'!$F$2:$F$109,"F")</f>
        <v/>
      </c>
      <c r="J52" s="2">
        <f>COUNTIFS('3_Curadoria'!$C$2:$C$109,$C52,'3_Curadoria'!$F$2:$F$109,"P")</f>
        <v/>
      </c>
      <c r="K52" s="4">
        <f>SUM(D52:J52)</f>
        <v/>
      </c>
    </row>
    <row r="53">
      <c r="C53" s="2" t="inlineStr">
        <is>
          <t>Diterpenoide (ent-caurano) esterificado</t>
        </is>
      </c>
      <c r="D53" s="2">
        <f>COUNTIFS('3_Curadoria'!$C$2:$C$109,$C53,'3_Curadoria'!$F$2:$F$109,"A")</f>
        <v/>
      </c>
      <c r="E53" s="2">
        <f>COUNTIFS('3_Curadoria'!$C$2:$C$109,$C53,'3_Curadoria'!$F$2:$F$109,"B")</f>
        <v/>
      </c>
      <c r="F53" s="2">
        <f>COUNTIFS('3_Curadoria'!$C$2:$C$109,$C53,'3_Curadoria'!$F$2:$F$109,"C")</f>
        <v/>
      </c>
      <c r="G53" s="2">
        <f>COUNTIFS('3_Curadoria'!$C$2:$C$109,$C53,'3_Curadoria'!$F$2:$F$109,"D")</f>
        <v/>
      </c>
      <c r="H53" s="2">
        <f>COUNTIFS('3_Curadoria'!$C$2:$C$109,$C53,'3_Curadoria'!$F$2:$F$109,"E")</f>
        <v/>
      </c>
      <c r="I53" s="2">
        <f>COUNTIFS('3_Curadoria'!$C$2:$C$109,$C53,'3_Curadoria'!$F$2:$F$109,"F")</f>
        <v/>
      </c>
      <c r="J53" s="2">
        <f>COUNTIFS('3_Curadoria'!$C$2:$C$109,$C53,'3_Curadoria'!$F$2:$F$109,"P")</f>
        <v/>
      </c>
      <c r="K53" s="4">
        <f>SUM(D53:J53)</f>
        <v/>
      </c>
    </row>
    <row r="54">
      <c r="C54" s="2" t="inlineStr">
        <is>
          <t>Fenol</t>
        </is>
      </c>
      <c r="D54" s="2">
        <f>COUNTIFS('3_Curadoria'!$C$2:$C$109,$C54,'3_Curadoria'!$F$2:$F$109,"A")</f>
        <v/>
      </c>
      <c r="E54" s="2">
        <f>COUNTIFS('3_Curadoria'!$C$2:$C$109,$C54,'3_Curadoria'!$F$2:$F$109,"B")</f>
        <v/>
      </c>
      <c r="F54" s="2">
        <f>COUNTIFS('3_Curadoria'!$C$2:$C$109,$C54,'3_Curadoria'!$F$2:$F$109,"C")</f>
        <v/>
      </c>
      <c r="G54" s="2">
        <f>COUNTIFS('3_Curadoria'!$C$2:$C$109,$C54,'3_Curadoria'!$F$2:$F$109,"D")</f>
        <v/>
      </c>
      <c r="H54" s="2">
        <f>COUNTIFS('3_Curadoria'!$C$2:$C$109,$C54,'3_Curadoria'!$F$2:$F$109,"E")</f>
        <v/>
      </c>
      <c r="I54" s="2">
        <f>COUNTIFS('3_Curadoria'!$C$2:$C$109,$C54,'3_Curadoria'!$F$2:$F$109,"F")</f>
        <v/>
      </c>
      <c r="J54" s="2">
        <f>COUNTIFS('3_Curadoria'!$C$2:$C$109,$C54,'3_Curadoria'!$F$2:$F$109,"P")</f>
        <v/>
      </c>
      <c r="K54" s="4">
        <f>SUM(D54:J54)</f>
        <v/>
      </c>
    </row>
    <row r="55">
      <c r="C55" s="2" t="inlineStr">
        <is>
          <t>Fenol volátil</t>
        </is>
      </c>
      <c r="D55" s="2">
        <f>COUNTIFS('3_Curadoria'!$C$2:$C$109,$C55,'3_Curadoria'!$F$2:$F$109,"A")</f>
        <v/>
      </c>
      <c r="E55" s="2">
        <f>COUNTIFS('3_Curadoria'!$C$2:$C$109,$C55,'3_Curadoria'!$F$2:$F$109,"B")</f>
        <v/>
      </c>
      <c r="F55" s="2">
        <f>COUNTIFS('3_Curadoria'!$C$2:$C$109,$C55,'3_Curadoria'!$F$2:$F$109,"C")</f>
        <v/>
      </c>
      <c r="G55" s="2">
        <f>COUNTIFS('3_Curadoria'!$C$2:$C$109,$C55,'3_Curadoria'!$F$2:$F$109,"D")</f>
        <v/>
      </c>
      <c r="H55" s="2">
        <f>COUNTIFS('3_Curadoria'!$C$2:$C$109,$C55,'3_Curadoria'!$F$2:$F$109,"E")</f>
        <v/>
      </c>
      <c r="I55" s="2">
        <f>COUNTIFS('3_Curadoria'!$C$2:$C$109,$C55,'3_Curadoria'!$F$2:$F$109,"F")</f>
        <v/>
      </c>
      <c r="J55" s="2">
        <f>COUNTIFS('3_Curadoria'!$C$2:$C$109,$C55,'3_Curadoria'!$F$2:$F$109,"P")</f>
        <v/>
      </c>
      <c r="K55" s="4">
        <f>SUM(D55:J55)</f>
        <v/>
      </c>
    </row>
    <row r="56">
      <c r="C56" s="2" t="inlineStr">
        <is>
          <t>Flavonoide (chalcona)</t>
        </is>
      </c>
      <c r="D56" s="2">
        <f>COUNTIFS('3_Curadoria'!$C$2:$C$109,$C56,'3_Curadoria'!$F$2:$F$109,"A")</f>
        <v/>
      </c>
      <c r="E56" s="2">
        <f>COUNTIFS('3_Curadoria'!$C$2:$C$109,$C56,'3_Curadoria'!$F$2:$F$109,"B")</f>
        <v/>
      </c>
      <c r="F56" s="2">
        <f>COUNTIFS('3_Curadoria'!$C$2:$C$109,$C56,'3_Curadoria'!$F$2:$F$109,"C")</f>
        <v/>
      </c>
      <c r="G56" s="2">
        <f>COUNTIFS('3_Curadoria'!$C$2:$C$109,$C56,'3_Curadoria'!$F$2:$F$109,"D")</f>
        <v/>
      </c>
      <c r="H56" s="2">
        <f>COUNTIFS('3_Curadoria'!$C$2:$C$109,$C56,'3_Curadoria'!$F$2:$F$109,"E")</f>
        <v/>
      </c>
      <c r="I56" s="2">
        <f>COUNTIFS('3_Curadoria'!$C$2:$C$109,$C56,'3_Curadoria'!$F$2:$F$109,"F")</f>
        <v/>
      </c>
      <c r="J56" s="2">
        <f>COUNTIFS('3_Curadoria'!$C$2:$C$109,$C56,'3_Curadoria'!$F$2:$F$109,"P")</f>
        <v/>
      </c>
      <c r="K56" s="4">
        <f>SUM(D56:J56)</f>
        <v/>
      </c>
    </row>
    <row r="57">
      <c r="C57" s="2" t="inlineStr">
        <is>
          <t>Flavonoide (flavona glicosilada)</t>
        </is>
      </c>
      <c r="D57" s="2">
        <f>COUNTIFS('3_Curadoria'!$C$2:$C$109,$C57,'3_Curadoria'!$F$2:$F$109,"A")</f>
        <v/>
      </c>
      <c r="E57" s="2">
        <f>COUNTIFS('3_Curadoria'!$C$2:$C$109,$C57,'3_Curadoria'!$F$2:$F$109,"B")</f>
        <v/>
      </c>
      <c r="F57" s="2">
        <f>COUNTIFS('3_Curadoria'!$C$2:$C$109,$C57,'3_Curadoria'!$F$2:$F$109,"C")</f>
        <v/>
      </c>
      <c r="G57" s="2">
        <f>COUNTIFS('3_Curadoria'!$C$2:$C$109,$C57,'3_Curadoria'!$F$2:$F$109,"D")</f>
        <v/>
      </c>
      <c r="H57" s="2">
        <f>COUNTIFS('3_Curadoria'!$C$2:$C$109,$C57,'3_Curadoria'!$F$2:$F$109,"E")</f>
        <v/>
      </c>
      <c r="I57" s="2">
        <f>COUNTIFS('3_Curadoria'!$C$2:$C$109,$C57,'3_Curadoria'!$F$2:$F$109,"F")</f>
        <v/>
      </c>
      <c r="J57" s="2">
        <f>COUNTIFS('3_Curadoria'!$C$2:$C$109,$C57,'3_Curadoria'!$F$2:$F$109,"P")</f>
        <v/>
      </c>
      <c r="K57" s="4">
        <f>SUM(D57:J57)</f>
        <v/>
      </c>
    </row>
    <row r="58">
      <c r="C58" s="2" t="inlineStr">
        <is>
          <t>Flavonoide (flavona)</t>
        </is>
      </c>
      <c r="D58" s="2">
        <f>COUNTIFS('3_Curadoria'!$C$2:$C$109,$C58,'3_Curadoria'!$F$2:$F$109,"A")</f>
        <v/>
      </c>
      <c r="E58" s="2">
        <f>COUNTIFS('3_Curadoria'!$C$2:$C$109,$C58,'3_Curadoria'!$F$2:$F$109,"B")</f>
        <v/>
      </c>
      <c r="F58" s="2">
        <f>COUNTIFS('3_Curadoria'!$C$2:$C$109,$C58,'3_Curadoria'!$F$2:$F$109,"C")</f>
        <v/>
      </c>
      <c r="G58" s="2">
        <f>COUNTIFS('3_Curadoria'!$C$2:$C$109,$C58,'3_Curadoria'!$F$2:$F$109,"D")</f>
        <v/>
      </c>
      <c r="H58" s="2">
        <f>COUNTIFS('3_Curadoria'!$C$2:$C$109,$C58,'3_Curadoria'!$F$2:$F$109,"E")</f>
        <v/>
      </c>
      <c r="I58" s="2">
        <f>COUNTIFS('3_Curadoria'!$C$2:$C$109,$C58,'3_Curadoria'!$F$2:$F$109,"F")</f>
        <v/>
      </c>
      <c r="J58" s="2">
        <f>COUNTIFS('3_Curadoria'!$C$2:$C$109,$C58,'3_Curadoria'!$F$2:$F$109,"P")</f>
        <v/>
      </c>
      <c r="K58" s="4">
        <f>SUM(D58:J58)</f>
        <v/>
      </c>
    </row>
    <row r="59">
      <c r="C59" s="2" t="inlineStr">
        <is>
          <t>Fosfolipídio</t>
        </is>
      </c>
      <c r="D59" s="2">
        <f>COUNTIFS('3_Curadoria'!$C$2:$C$109,$C59,'3_Curadoria'!$F$2:$F$109,"A")</f>
        <v/>
      </c>
      <c r="E59" s="2">
        <f>COUNTIFS('3_Curadoria'!$C$2:$C$109,$C59,'3_Curadoria'!$F$2:$F$109,"B")</f>
        <v/>
      </c>
      <c r="F59" s="2">
        <f>COUNTIFS('3_Curadoria'!$C$2:$C$109,$C59,'3_Curadoria'!$F$2:$F$109,"C")</f>
        <v/>
      </c>
      <c r="G59" s="2">
        <f>COUNTIFS('3_Curadoria'!$C$2:$C$109,$C59,'3_Curadoria'!$F$2:$F$109,"D")</f>
        <v/>
      </c>
      <c r="H59" s="2">
        <f>COUNTIFS('3_Curadoria'!$C$2:$C$109,$C59,'3_Curadoria'!$F$2:$F$109,"E")</f>
        <v/>
      </c>
      <c r="I59" s="2">
        <f>COUNTIFS('3_Curadoria'!$C$2:$C$109,$C59,'3_Curadoria'!$F$2:$F$109,"F")</f>
        <v/>
      </c>
      <c r="J59" s="2">
        <f>COUNTIFS('3_Curadoria'!$C$2:$C$109,$C59,'3_Curadoria'!$F$2:$F$109,"P")</f>
        <v/>
      </c>
      <c r="K59" s="4">
        <f>SUM(D59:J59)</f>
        <v/>
      </c>
    </row>
    <row r="60">
      <c r="C60" s="2" t="inlineStr">
        <is>
          <t>Fosfolipídio (plasmalogênio)</t>
        </is>
      </c>
      <c r="D60" s="2">
        <f>COUNTIFS('3_Curadoria'!$C$2:$C$109,$C60,'3_Curadoria'!$F$2:$F$109,"A")</f>
        <v/>
      </c>
      <c r="E60" s="2">
        <f>COUNTIFS('3_Curadoria'!$C$2:$C$109,$C60,'3_Curadoria'!$F$2:$F$109,"B")</f>
        <v/>
      </c>
      <c r="F60" s="2">
        <f>COUNTIFS('3_Curadoria'!$C$2:$C$109,$C60,'3_Curadoria'!$F$2:$F$109,"C")</f>
        <v/>
      </c>
      <c r="G60" s="2">
        <f>COUNTIFS('3_Curadoria'!$C$2:$C$109,$C60,'3_Curadoria'!$F$2:$F$109,"D")</f>
        <v/>
      </c>
      <c r="H60" s="2">
        <f>COUNTIFS('3_Curadoria'!$C$2:$C$109,$C60,'3_Curadoria'!$F$2:$F$109,"E")</f>
        <v/>
      </c>
      <c r="I60" s="2">
        <f>COUNTIFS('3_Curadoria'!$C$2:$C$109,$C60,'3_Curadoria'!$F$2:$F$109,"F")</f>
        <v/>
      </c>
      <c r="J60" s="2">
        <f>COUNTIFS('3_Curadoria'!$C$2:$C$109,$C60,'3_Curadoria'!$F$2:$F$109,"P")</f>
        <v/>
      </c>
      <c r="K60" s="4">
        <f>SUM(D60:J60)</f>
        <v/>
      </c>
    </row>
    <row r="61">
      <c r="C61" s="2" t="inlineStr">
        <is>
          <t>Fármaco</t>
        </is>
      </c>
      <c r="D61" s="2">
        <f>COUNTIFS('3_Curadoria'!$C$2:$C$109,$C61,'3_Curadoria'!$F$2:$F$109,"A")</f>
        <v/>
      </c>
      <c r="E61" s="2">
        <f>COUNTIFS('3_Curadoria'!$C$2:$C$109,$C61,'3_Curadoria'!$F$2:$F$109,"B")</f>
        <v/>
      </c>
      <c r="F61" s="2">
        <f>COUNTIFS('3_Curadoria'!$C$2:$C$109,$C61,'3_Curadoria'!$F$2:$F$109,"C")</f>
        <v/>
      </c>
      <c r="G61" s="2">
        <f>COUNTIFS('3_Curadoria'!$C$2:$C$109,$C61,'3_Curadoria'!$F$2:$F$109,"D")</f>
        <v/>
      </c>
      <c r="H61" s="2">
        <f>COUNTIFS('3_Curadoria'!$C$2:$C$109,$C61,'3_Curadoria'!$F$2:$F$109,"E")</f>
        <v/>
      </c>
      <c r="I61" s="2">
        <f>COUNTIFS('3_Curadoria'!$C$2:$C$109,$C61,'3_Curadoria'!$F$2:$F$109,"F")</f>
        <v/>
      </c>
      <c r="J61" s="2">
        <f>COUNTIFS('3_Curadoria'!$C$2:$C$109,$C61,'3_Curadoria'!$F$2:$F$109,"P")</f>
        <v/>
      </c>
      <c r="K61" s="4">
        <f>SUM(D61:J61)</f>
        <v/>
      </c>
    </row>
    <row r="62">
      <c r="C62" s="2" t="inlineStr">
        <is>
          <t>Glicerolipídio</t>
        </is>
      </c>
      <c r="D62" s="2">
        <f>COUNTIFS('3_Curadoria'!$C$2:$C$109,$C62,'3_Curadoria'!$F$2:$F$109,"A")</f>
        <v/>
      </c>
      <c r="E62" s="2">
        <f>COUNTIFS('3_Curadoria'!$C$2:$C$109,$C62,'3_Curadoria'!$F$2:$F$109,"B")</f>
        <v/>
      </c>
      <c r="F62" s="2">
        <f>COUNTIFS('3_Curadoria'!$C$2:$C$109,$C62,'3_Curadoria'!$F$2:$F$109,"C")</f>
        <v/>
      </c>
      <c r="G62" s="2">
        <f>COUNTIFS('3_Curadoria'!$C$2:$C$109,$C62,'3_Curadoria'!$F$2:$F$109,"D")</f>
        <v/>
      </c>
      <c r="H62" s="2">
        <f>COUNTIFS('3_Curadoria'!$C$2:$C$109,$C62,'3_Curadoria'!$F$2:$F$109,"E")</f>
        <v/>
      </c>
      <c r="I62" s="2">
        <f>COUNTIFS('3_Curadoria'!$C$2:$C$109,$C62,'3_Curadoria'!$F$2:$F$109,"F")</f>
        <v/>
      </c>
      <c r="J62" s="2">
        <f>COUNTIFS('3_Curadoria'!$C$2:$C$109,$C62,'3_Curadoria'!$F$2:$F$109,"P")</f>
        <v/>
      </c>
      <c r="K62" s="4">
        <f>SUM(D62:J62)</f>
        <v/>
      </c>
    </row>
    <row r="63">
      <c r="C63" s="2" t="inlineStr">
        <is>
          <t>Hidroxiácido graxo</t>
        </is>
      </c>
      <c r="D63" s="2">
        <f>COUNTIFS('3_Curadoria'!$C$2:$C$109,$C63,'3_Curadoria'!$F$2:$F$109,"A")</f>
        <v/>
      </c>
      <c r="E63" s="2">
        <f>COUNTIFS('3_Curadoria'!$C$2:$C$109,$C63,'3_Curadoria'!$F$2:$F$109,"B")</f>
        <v/>
      </c>
      <c r="F63" s="2">
        <f>COUNTIFS('3_Curadoria'!$C$2:$C$109,$C63,'3_Curadoria'!$F$2:$F$109,"C")</f>
        <v/>
      </c>
      <c r="G63" s="2">
        <f>COUNTIFS('3_Curadoria'!$C$2:$C$109,$C63,'3_Curadoria'!$F$2:$F$109,"D")</f>
        <v/>
      </c>
      <c r="H63" s="2">
        <f>COUNTIFS('3_Curadoria'!$C$2:$C$109,$C63,'3_Curadoria'!$F$2:$F$109,"E")</f>
        <v/>
      </c>
      <c r="I63" s="2">
        <f>COUNTIFS('3_Curadoria'!$C$2:$C$109,$C63,'3_Curadoria'!$F$2:$F$109,"F")</f>
        <v/>
      </c>
      <c r="J63" s="2">
        <f>COUNTIFS('3_Curadoria'!$C$2:$C$109,$C63,'3_Curadoria'!$F$2:$F$109,"P")</f>
        <v/>
      </c>
      <c r="K63" s="4">
        <f>SUM(D63:J63)</f>
        <v/>
      </c>
    </row>
    <row r="64">
      <c r="C64" s="2" t="inlineStr">
        <is>
          <t>Indeterminado</t>
        </is>
      </c>
      <c r="D64" s="2">
        <f>COUNTIFS('3_Curadoria'!$C$2:$C$109,$C64,'3_Curadoria'!$F$2:$F$109,"A")</f>
        <v/>
      </c>
      <c r="E64" s="2">
        <f>COUNTIFS('3_Curadoria'!$C$2:$C$109,$C64,'3_Curadoria'!$F$2:$F$109,"B")</f>
        <v/>
      </c>
      <c r="F64" s="2">
        <f>COUNTIFS('3_Curadoria'!$C$2:$C$109,$C64,'3_Curadoria'!$F$2:$F$109,"C")</f>
        <v/>
      </c>
      <c r="G64" s="2">
        <f>COUNTIFS('3_Curadoria'!$C$2:$C$109,$C64,'3_Curadoria'!$F$2:$F$109,"D")</f>
        <v/>
      </c>
      <c r="H64" s="2">
        <f>COUNTIFS('3_Curadoria'!$C$2:$C$109,$C64,'3_Curadoria'!$F$2:$F$109,"E")</f>
        <v/>
      </c>
      <c r="I64" s="2">
        <f>COUNTIFS('3_Curadoria'!$C$2:$C$109,$C64,'3_Curadoria'!$F$2:$F$109,"F")</f>
        <v/>
      </c>
      <c r="J64" s="2">
        <f>COUNTIFS('3_Curadoria'!$C$2:$C$109,$C64,'3_Curadoria'!$F$2:$F$109,"P")</f>
        <v/>
      </c>
      <c r="K64" s="4">
        <f>SUM(D64:J64)</f>
        <v/>
      </c>
    </row>
    <row r="65">
      <c r="C65" s="2" t="inlineStr">
        <is>
          <t>Indol</t>
        </is>
      </c>
      <c r="D65" s="2">
        <f>COUNTIFS('3_Curadoria'!$C$2:$C$109,$C65,'3_Curadoria'!$F$2:$F$109,"A")</f>
        <v/>
      </c>
      <c r="E65" s="2">
        <f>COUNTIFS('3_Curadoria'!$C$2:$C$109,$C65,'3_Curadoria'!$F$2:$F$109,"B")</f>
        <v/>
      </c>
      <c r="F65" s="2">
        <f>COUNTIFS('3_Curadoria'!$C$2:$C$109,$C65,'3_Curadoria'!$F$2:$F$109,"C")</f>
        <v/>
      </c>
      <c r="G65" s="2">
        <f>COUNTIFS('3_Curadoria'!$C$2:$C$109,$C65,'3_Curadoria'!$F$2:$F$109,"D")</f>
        <v/>
      </c>
      <c r="H65" s="2">
        <f>COUNTIFS('3_Curadoria'!$C$2:$C$109,$C65,'3_Curadoria'!$F$2:$F$109,"E")</f>
        <v/>
      </c>
      <c r="I65" s="2">
        <f>COUNTIFS('3_Curadoria'!$C$2:$C$109,$C65,'3_Curadoria'!$F$2:$F$109,"F")</f>
        <v/>
      </c>
      <c r="J65" s="2">
        <f>COUNTIFS('3_Curadoria'!$C$2:$C$109,$C65,'3_Curadoria'!$F$2:$F$109,"P")</f>
        <v/>
      </c>
      <c r="K65" s="4">
        <f>SUM(D65:J65)</f>
        <v/>
      </c>
    </row>
    <row r="66">
      <c r="C66" s="2" t="inlineStr">
        <is>
          <t>Indol (auxina)</t>
        </is>
      </c>
      <c r="D66" s="2">
        <f>COUNTIFS('3_Curadoria'!$C$2:$C$109,$C66,'3_Curadoria'!$F$2:$F$109,"A")</f>
        <v/>
      </c>
      <c r="E66" s="2">
        <f>COUNTIFS('3_Curadoria'!$C$2:$C$109,$C66,'3_Curadoria'!$F$2:$F$109,"B")</f>
        <v/>
      </c>
      <c r="F66" s="2">
        <f>COUNTIFS('3_Curadoria'!$C$2:$C$109,$C66,'3_Curadoria'!$F$2:$F$109,"C")</f>
        <v/>
      </c>
      <c r="G66" s="2">
        <f>COUNTIFS('3_Curadoria'!$C$2:$C$109,$C66,'3_Curadoria'!$F$2:$F$109,"D")</f>
        <v/>
      </c>
      <c r="H66" s="2">
        <f>COUNTIFS('3_Curadoria'!$C$2:$C$109,$C66,'3_Curadoria'!$F$2:$F$109,"E")</f>
        <v/>
      </c>
      <c r="I66" s="2">
        <f>COUNTIFS('3_Curadoria'!$C$2:$C$109,$C66,'3_Curadoria'!$F$2:$F$109,"F")</f>
        <v/>
      </c>
      <c r="J66" s="2">
        <f>COUNTIFS('3_Curadoria'!$C$2:$C$109,$C66,'3_Curadoria'!$F$2:$F$109,"P")</f>
        <v/>
      </c>
      <c r="K66" s="4">
        <f>SUM(D66:J66)</f>
        <v/>
      </c>
    </row>
    <row r="67">
      <c r="C67" s="2" t="inlineStr">
        <is>
          <t>Meroterpenoide (ácido benzoico prenilado)</t>
        </is>
      </c>
      <c r="D67" s="2">
        <f>COUNTIFS('3_Curadoria'!$C$2:$C$109,$C67,'3_Curadoria'!$F$2:$F$109,"A")</f>
        <v/>
      </c>
      <c r="E67" s="2">
        <f>COUNTIFS('3_Curadoria'!$C$2:$C$109,$C67,'3_Curadoria'!$F$2:$F$109,"B")</f>
        <v/>
      </c>
      <c r="F67" s="2">
        <f>COUNTIFS('3_Curadoria'!$C$2:$C$109,$C67,'3_Curadoria'!$F$2:$F$109,"C")</f>
        <v/>
      </c>
      <c r="G67" s="2">
        <f>COUNTIFS('3_Curadoria'!$C$2:$C$109,$C67,'3_Curadoria'!$F$2:$F$109,"D")</f>
        <v/>
      </c>
      <c r="H67" s="2">
        <f>COUNTIFS('3_Curadoria'!$C$2:$C$109,$C67,'3_Curadoria'!$F$2:$F$109,"E")</f>
        <v/>
      </c>
      <c r="I67" s="2">
        <f>COUNTIFS('3_Curadoria'!$C$2:$C$109,$C67,'3_Curadoria'!$F$2:$F$109,"F")</f>
        <v/>
      </c>
      <c r="J67" s="2">
        <f>COUNTIFS('3_Curadoria'!$C$2:$C$109,$C67,'3_Curadoria'!$F$2:$F$109,"P")</f>
        <v/>
      </c>
      <c r="K67" s="4">
        <f>SUM(D67:J67)</f>
        <v/>
      </c>
    </row>
    <row r="68">
      <c r="C68" s="2" t="inlineStr">
        <is>
          <t>Metabólito de pesticida</t>
        </is>
      </c>
      <c r="D68" s="2">
        <f>COUNTIFS('3_Curadoria'!$C$2:$C$109,$C68,'3_Curadoria'!$F$2:$F$109,"A")</f>
        <v/>
      </c>
      <c r="E68" s="2">
        <f>COUNTIFS('3_Curadoria'!$C$2:$C$109,$C68,'3_Curadoria'!$F$2:$F$109,"B")</f>
        <v/>
      </c>
      <c r="F68" s="2">
        <f>COUNTIFS('3_Curadoria'!$C$2:$C$109,$C68,'3_Curadoria'!$F$2:$F$109,"C")</f>
        <v/>
      </c>
      <c r="G68" s="2">
        <f>COUNTIFS('3_Curadoria'!$C$2:$C$109,$C68,'3_Curadoria'!$F$2:$F$109,"D")</f>
        <v/>
      </c>
      <c r="H68" s="2">
        <f>COUNTIFS('3_Curadoria'!$C$2:$C$109,$C68,'3_Curadoria'!$F$2:$F$109,"E")</f>
        <v/>
      </c>
      <c r="I68" s="2">
        <f>COUNTIFS('3_Curadoria'!$C$2:$C$109,$C68,'3_Curadoria'!$F$2:$F$109,"F")</f>
        <v/>
      </c>
      <c r="J68" s="2">
        <f>COUNTIFS('3_Curadoria'!$C$2:$C$109,$C68,'3_Curadoria'!$F$2:$F$109,"P")</f>
        <v/>
      </c>
      <c r="K68" s="4">
        <f>SUM(D68:J68)</f>
        <v/>
      </c>
    </row>
    <row r="69">
      <c r="C69" s="2" t="inlineStr">
        <is>
          <t>Nitrosamina</t>
        </is>
      </c>
      <c r="D69" s="2">
        <f>COUNTIFS('3_Curadoria'!$C$2:$C$109,$C69,'3_Curadoria'!$F$2:$F$109,"A")</f>
        <v/>
      </c>
      <c r="E69" s="2">
        <f>COUNTIFS('3_Curadoria'!$C$2:$C$109,$C69,'3_Curadoria'!$F$2:$F$109,"B")</f>
        <v/>
      </c>
      <c r="F69" s="2">
        <f>COUNTIFS('3_Curadoria'!$C$2:$C$109,$C69,'3_Curadoria'!$F$2:$F$109,"C")</f>
        <v/>
      </c>
      <c r="G69" s="2">
        <f>COUNTIFS('3_Curadoria'!$C$2:$C$109,$C69,'3_Curadoria'!$F$2:$F$109,"D")</f>
        <v/>
      </c>
      <c r="H69" s="2">
        <f>COUNTIFS('3_Curadoria'!$C$2:$C$109,$C69,'3_Curadoria'!$F$2:$F$109,"E")</f>
        <v/>
      </c>
      <c r="I69" s="2">
        <f>COUNTIFS('3_Curadoria'!$C$2:$C$109,$C69,'3_Curadoria'!$F$2:$F$109,"F")</f>
        <v/>
      </c>
      <c r="J69" s="2">
        <f>COUNTIFS('3_Curadoria'!$C$2:$C$109,$C69,'3_Curadoria'!$F$2:$F$109,"P")</f>
        <v/>
      </c>
      <c r="K69" s="4">
        <f>SUM(D69:J69)</f>
        <v/>
      </c>
    </row>
    <row r="70">
      <c r="C70" s="2" t="inlineStr">
        <is>
          <t>Norisoprenoide (C13)</t>
        </is>
      </c>
      <c r="D70" s="2">
        <f>COUNTIFS('3_Curadoria'!$C$2:$C$109,$C70,'3_Curadoria'!$F$2:$F$109,"A")</f>
        <v/>
      </c>
      <c r="E70" s="2">
        <f>COUNTIFS('3_Curadoria'!$C$2:$C$109,$C70,'3_Curadoria'!$F$2:$F$109,"B")</f>
        <v/>
      </c>
      <c r="F70" s="2">
        <f>COUNTIFS('3_Curadoria'!$C$2:$C$109,$C70,'3_Curadoria'!$F$2:$F$109,"C")</f>
        <v/>
      </c>
      <c r="G70" s="2">
        <f>COUNTIFS('3_Curadoria'!$C$2:$C$109,$C70,'3_Curadoria'!$F$2:$F$109,"D")</f>
        <v/>
      </c>
      <c r="H70" s="2">
        <f>COUNTIFS('3_Curadoria'!$C$2:$C$109,$C70,'3_Curadoria'!$F$2:$F$109,"E")</f>
        <v/>
      </c>
      <c r="I70" s="2">
        <f>COUNTIFS('3_Curadoria'!$C$2:$C$109,$C70,'3_Curadoria'!$F$2:$F$109,"F")</f>
        <v/>
      </c>
      <c r="J70" s="2">
        <f>COUNTIFS('3_Curadoria'!$C$2:$C$109,$C70,'3_Curadoria'!$F$2:$F$109,"P")</f>
        <v/>
      </c>
      <c r="K70" s="4">
        <f>SUM(D70:J70)</f>
        <v/>
      </c>
    </row>
    <row r="71">
      <c r="C71" s="2" t="inlineStr">
        <is>
          <t>Norisoprenoide (monoterpenoide lactona)</t>
        </is>
      </c>
      <c r="D71" s="2">
        <f>COUNTIFS('3_Curadoria'!$C$2:$C$109,$C71,'3_Curadoria'!$F$2:$F$109,"A")</f>
        <v/>
      </c>
      <c r="E71" s="2">
        <f>COUNTIFS('3_Curadoria'!$C$2:$C$109,$C71,'3_Curadoria'!$F$2:$F$109,"B")</f>
        <v/>
      </c>
      <c r="F71" s="2">
        <f>COUNTIFS('3_Curadoria'!$C$2:$C$109,$C71,'3_Curadoria'!$F$2:$F$109,"C")</f>
        <v/>
      </c>
      <c r="G71" s="2">
        <f>COUNTIFS('3_Curadoria'!$C$2:$C$109,$C71,'3_Curadoria'!$F$2:$F$109,"D")</f>
        <v/>
      </c>
      <c r="H71" s="2">
        <f>COUNTIFS('3_Curadoria'!$C$2:$C$109,$C71,'3_Curadoria'!$F$2:$F$109,"E")</f>
        <v/>
      </c>
      <c r="I71" s="2">
        <f>COUNTIFS('3_Curadoria'!$C$2:$C$109,$C71,'3_Curadoria'!$F$2:$F$109,"F")</f>
        <v/>
      </c>
      <c r="J71" s="2">
        <f>COUNTIFS('3_Curadoria'!$C$2:$C$109,$C71,'3_Curadoria'!$F$2:$F$109,"P")</f>
        <v/>
      </c>
      <c r="K71" s="4">
        <f>SUM(D71:J71)</f>
        <v/>
      </c>
    </row>
    <row r="72">
      <c r="C72" s="2" t="inlineStr">
        <is>
          <t>Nucleosídeo</t>
        </is>
      </c>
      <c r="D72" s="2">
        <f>COUNTIFS('3_Curadoria'!$C$2:$C$109,$C72,'3_Curadoria'!$F$2:$F$109,"A")</f>
        <v/>
      </c>
      <c r="E72" s="2">
        <f>COUNTIFS('3_Curadoria'!$C$2:$C$109,$C72,'3_Curadoria'!$F$2:$F$109,"B")</f>
        <v/>
      </c>
      <c r="F72" s="2">
        <f>COUNTIFS('3_Curadoria'!$C$2:$C$109,$C72,'3_Curadoria'!$F$2:$F$109,"C")</f>
        <v/>
      </c>
      <c r="G72" s="2">
        <f>COUNTIFS('3_Curadoria'!$C$2:$C$109,$C72,'3_Curadoria'!$F$2:$F$109,"D")</f>
        <v/>
      </c>
      <c r="H72" s="2">
        <f>COUNTIFS('3_Curadoria'!$C$2:$C$109,$C72,'3_Curadoria'!$F$2:$F$109,"E")</f>
        <v/>
      </c>
      <c r="I72" s="2">
        <f>COUNTIFS('3_Curadoria'!$C$2:$C$109,$C72,'3_Curadoria'!$F$2:$F$109,"F")</f>
        <v/>
      </c>
      <c r="J72" s="2">
        <f>COUNTIFS('3_Curadoria'!$C$2:$C$109,$C72,'3_Curadoria'!$F$2:$F$109,"P")</f>
        <v/>
      </c>
      <c r="K72" s="4">
        <f>SUM(D72:J72)</f>
        <v/>
      </c>
    </row>
    <row r="73">
      <c r="C73" s="2" t="inlineStr">
        <is>
          <t>Oxilipina</t>
        </is>
      </c>
      <c r="D73" s="2">
        <f>COUNTIFS('3_Curadoria'!$C$2:$C$109,$C73,'3_Curadoria'!$F$2:$F$109,"A")</f>
        <v/>
      </c>
      <c r="E73" s="2">
        <f>COUNTIFS('3_Curadoria'!$C$2:$C$109,$C73,'3_Curadoria'!$F$2:$F$109,"B")</f>
        <v/>
      </c>
      <c r="F73" s="2">
        <f>COUNTIFS('3_Curadoria'!$C$2:$C$109,$C73,'3_Curadoria'!$F$2:$F$109,"C")</f>
        <v/>
      </c>
      <c r="G73" s="2">
        <f>COUNTIFS('3_Curadoria'!$C$2:$C$109,$C73,'3_Curadoria'!$F$2:$F$109,"D")</f>
        <v/>
      </c>
      <c r="H73" s="2">
        <f>COUNTIFS('3_Curadoria'!$C$2:$C$109,$C73,'3_Curadoria'!$F$2:$F$109,"E")</f>
        <v/>
      </c>
      <c r="I73" s="2">
        <f>COUNTIFS('3_Curadoria'!$C$2:$C$109,$C73,'3_Curadoria'!$F$2:$F$109,"F")</f>
        <v/>
      </c>
      <c r="J73" s="2">
        <f>COUNTIFS('3_Curadoria'!$C$2:$C$109,$C73,'3_Curadoria'!$F$2:$F$109,"P")</f>
        <v/>
      </c>
      <c r="K73" s="4">
        <f>SUM(D73:J73)</f>
        <v/>
      </c>
    </row>
    <row r="74">
      <c r="C74" s="2" t="inlineStr">
        <is>
          <t>Oxilipina / fitormônio</t>
        </is>
      </c>
      <c r="D74" s="2">
        <f>COUNTIFS('3_Curadoria'!$C$2:$C$109,$C74,'3_Curadoria'!$F$2:$F$109,"A")</f>
        <v/>
      </c>
      <c r="E74" s="2">
        <f>COUNTIFS('3_Curadoria'!$C$2:$C$109,$C74,'3_Curadoria'!$F$2:$F$109,"B")</f>
        <v/>
      </c>
      <c r="F74" s="2">
        <f>COUNTIFS('3_Curadoria'!$C$2:$C$109,$C74,'3_Curadoria'!$F$2:$F$109,"C")</f>
        <v/>
      </c>
      <c r="G74" s="2">
        <f>COUNTIFS('3_Curadoria'!$C$2:$C$109,$C74,'3_Curadoria'!$F$2:$F$109,"D")</f>
        <v/>
      </c>
      <c r="H74" s="2">
        <f>COUNTIFS('3_Curadoria'!$C$2:$C$109,$C74,'3_Curadoria'!$F$2:$F$109,"E")</f>
        <v/>
      </c>
      <c r="I74" s="2">
        <f>COUNTIFS('3_Curadoria'!$C$2:$C$109,$C74,'3_Curadoria'!$F$2:$F$109,"F")</f>
        <v/>
      </c>
      <c r="J74" s="2">
        <f>COUNTIFS('3_Curadoria'!$C$2:$C$109,$C74,'3_Curadoria'!$F$2:$F$109,"P")</f>
        <v/>
      </c>
      <c r="K74" s="4">
        <f>SUM(D74:J74)</f>
        <v/>
      </c>
    </row>
    <row r="75">
      <c r="C75" s="2" t="inlineStr">
        <is>
          <t>Peptídeo</t>
        </is>
      </c>
      <c r="D75" s="2">
        <f>COUNTIFS('3_Curadoria'!$C$2:$C$109,$C75,'3_Curadoria'!$F$2:$F$109,"A")</f>
        <v/>
      </c>
      <c r="E75" s="2">
        <f>COUNTIFS('3_Curadoria'!$C$2:$C$109,$C75,'3_Curadoria'!$F$2:$F$109,"B")</f>
        <v/>
      </c>
      <c r="F75" s="2">
        <f>COUNTIFS('3_Curadoria'!$C$2:$C$109,$C75,'3_Curadoria'!$F$2:$F$109,"C")</f>
        <v/>
      </c>
      <c r="G75" s="2">
        <f>COUNTIFS('3_Curadoria'!$C$2:$C$109,$C75,'3_Curadoria'!$F$2:$F$109,"D")</f>
        <v/>
      </c>
      <c r="H75" s="2">
        <f>COUNTIFS('3_Curadoria'!$C$2:$C$109,$C75,'3_Curadoria'!$F$2:$F$109,"E")</f>
        <v/>
      </c>
      <c r="I75" s="2">
        <f>COUNTIFS('3_Curadoria'!$C$2:$C$109,$C75,'3_Curadoria'!$F$2:$F$109,"F")</f>
        <v/>
      </c>
      <c r="J75" s="2">
        <f>COUNTIFS('3_Curadoria'!$C$2:$C$109,$C75,'3_Curadoria'!$F$2:$F$109,"P")</f>
        <v/>
      </c>
      <c r="K75" s="4">
        <f>SUM(D75:J75)</f>
        <v/>
      </c>
    </row>
    <row r="76">
      <c r="C76" s="2" t="inlineStr">
        <is>
          <t>Pirimidina</t>
        </is>
      </c>
      <c r="D76" s="2">
        <f>COUNTIFS('3_Curadoria'!$C$2:$C$109,$C76,'3_Curadoria'!$F$2:$F$109,"A")</f>
        <v/>
      </c>
      <c r="E76" s="2">
        <f>COUNTIFS('3_Curadoria'!$C$2:$C$109,$C76,'3_Curadoria'!$F$2:$F$109,"B")</f>
        <v/>
      </c>
      <c r="F76" s="2">
        <f>COUNTIFS('3_Curadoria'!$C$2:$C$109,$C76,'3_Curadoria'!$F$2:$F$109,"C")</f>
        <v/>
      </c>
      <c r="G76" s="2">
        <f>COUNTIFS('3_Curadoria'!$C$2:$C$109,$C76,'3_Curadoria'!$F$2:$F$109,"D")</f>
        <v/>
      </c>
      <c r="H76" s="2">
        <f>COUNTIFS('3_Curadoria'!$C$2:$C$109,$C76,'3_Curadoria'!$F$2:$F$109,"E")</f>
        <v/>
      </c>
      <c r="I76" s="2">
        <f>COUNTIFS('3_Curadoria'!$C$2:$C$109,$C76,'3_Curadoria'!$F$2:$F$109,"F")</f>
        <v/>
      </c>
      <c r="J76" s="2">
        <f>COUNTIFS('3_Curadoria'!$C$2:$C$109,$C76,'3_Curadoria'!$F$2:$F$109,"P")</f>
        <v/>
      </c>
      <c r="K76" s="4">
        <f>SUM(D76:J76)</f>
        <v/>
      </c>
    </row>
    <row r="77">
      <c r="C77" s="2" t="inlineStr">
        <is>
          <t>Pirona</t>
        </is>
      </c>
      <c r="D77" s="2">
        <f>COUNTIFS('3_Curadoria'!$C$2:$C$109,$C77,'3_Curadoria'!$F$2:$F$109,"A")</f>
        <v/>
      </c>
      <c r="E77" s="2">
        <f>COUNTIFS('3_Curadoria'!$C$2:$C$109,$C77,'3_Curadoria'!$F$2:$F$109,"B")</f>
        <v/>
      </c>
      <c r="F77" s="2">
        <f>COUNTIFS('3_Curadoria'!$C$2:$C$109,$C77,'3_Curadoria'!$F$2:$F$109,"C")</f>
        <v/>
      </c>
      <c r="G77" s="2">
        <f>COUNTIFS('3_Curadoria'!$C$2:$C$109,$C77,'3_Curadoria'!$F$2:$F$109,"D")</f>
        <v/>
      </c>
      <c r="H77" s="2">
        <f>COUNTIFS('3_Curadoria'!$C$2:$C$109,$C77,'3_Curadoria'!$F$2:$F$109,"E")</f>
        <v/>
      </c>
      <c r="I77" s="2">
        <f>COUNTIFS('3_Curadoria'!$C$2:$C$109,$C77,'3_Curadoria'!$F$2:$F$109,"F")</f>
        <v/>
      </c>
      <c r="J77" s="2">
        <f>COUNTIFS('3_Curadoria'!$C$2:$C$109,$C77,'3_Curadoria'!$F$2:$F$109,"P")</f>
        <v/>
      </c>
      <c r="K77" s="4">
        <f>SUM(D77:J77)</f>
        <v/>
      </c>
    </row>
    <row r="78">
      <c r="C78" s="2" t="inlineStr">
        <is>
          <t>Policetídeo microbiano</t>
        </is>
      </c>
      <c r="D78" s="2">
        <f>COUNTIFS('3_Curadoria'!$C$2:$C$109,$C78,'3_Curadoria'!$F$2:$F$109,"A")</f>
        <v/>
      </c>
      <c r="E78" s="2">
        <f>COUNTIFS('3_Curadoria'!$C$2:$C$109,$C78,'3_Curadoria'!$F$2:$F$109,"B")</f>
        <v/>
      </c>
      <c r="F78" s="2">
        <f>COUNTIFS('3_Curadoria'!$C$2:$C$109,$C78,'3_Curadoria'!$F$2:$F$109,"C")</f>
        <v/>
      </c>
      <c r="G78" s="2">
        <f>COUNTIFS('3_Curadoria'!$C$2:$C$109,$C78,'3_Curadoria'!$F$2:$F$109,"D")</f>
        <v/>
      </c>
      <c r="H78" s="2">
        <f>COUNTIFS('3_Curadoria'!$C$2:$C$109,$C78,'3_Curadoria'!$F$2:$F$109,"E")</f>
        <v/>
      </c>
      <c r="I78" s="2">
        <f>COUNTIFS('3_Curadoria'!$C$2:$C$109,$C78,'3_Curadoria'!$F$2:$F$109,"F")</f>
        <v/>
      </c>
      <c r="J78" s="2">
        <f>COUNTIFS('3_Curadoria'!$C$2:$C$109,$C78,'3_Curadoria'!$F$2:$F$109,"P")</f>
        <v/>
      </c>
      <c r="K78" s="4">
        <f>SUM(D78:J78)</f>
        <v/>
      </c>
    </row>
    <row r="79">
      <c r="C79" s="2" t="inlineStr">
        <is>
          <t>Poliol</t>
        </is>
      </c>
      <c r="D79" s="2">
        <f>COUNTIFS('3_Curadoria'!$C$2:$C$109,$C79,'3_Curadoria'!$F$2:$F$109,"A")</f>
        <v/>
      </c>
      <c r="E79" s="2">
        <f>COUNTIFS('3_Curadoria'!$C$2:$C$109,$C79,'3_Curadoria'!$F$2:$F$109,"B")</f>
        <v/>
      </c>
      <c r="F79" s="2">
        <f>COUNTIFS('3_Curadoria'!$C$2:$C$109,$C79,'3_Curadoria'!$F$2:$F$109,"C")</f>
        <v/>
      </c>
      <c r="G79" s="2">
        <f>COUNTIFS('3_Curadoria'!$C$2:$C$109,$C79,'3_Curadoria'!$F$2:$F$109,"D")</f>
        <v/>
      </c>
      <c r="H79" s="2">
        <f>COUNTIFS('3_Curadoria'!$C$2:$C$109,$C79,'3_Curadoria'!$F$2:$F$109,"E")</f>
        <v/>
      </c>
      <c r="I79" s="2">
        <f>COUNTIFS('3_Curadoria'!$C$2:$C$109,$C79,'3_Curadoria'!$F$2:$F$109,"F")</f>
        <v/>
      </c>
      <c r="J79" s="2">
        <f>COUNTIFS('3_Curadoria'!$C$2:$C$109,$C79,'3_Curadoria'!$F$2:$F$109,"P")</f>
        <v/>
      </c>
      <c r="K79" s="4">
        <f>SUM(D79:J79)</f>
        <v/>
      </c>
    </row>
    <row r="80">
      <c r="C80" s="2" t="inlineStr">
        <is>
          <t>Purina</t>
        </is>
      </c>
      <c r="D80" s="2">
        <f>COUNTIFS('3_Curadoria'!$C$2:$C$109,$C80,'3_Curadoria'!$F$2:$F$109,"A")</f>
        <v/>
      </c>
      <c r="E80" s="2">
        <f>COUNTIFS('3_Curadoria'!$C$2:$C$109,$C80,'3_Curadoria'!$F$2:$F$109,"B")</f>
        <v/>
      </c>
      <c r="F80" s="2">
        <f>COUNTIFS('3_Curadoria'!$C$2:$C$109,$C80,'3_Curadoria'!$F$2:$F$109,"C")</f>
        <v/>
      </c>
      <c r="G80" s="2">
        <f>COUNTIFS('3_Curadoria'!$C$2:$C$109,$C80,'3_Curadoria'!$F$2:$F$109,"D")</f>
        <v/>
      </c>
      <c r="H80" s="2">
        <f>COUNTIFS('3_Curadoria'!$C$2:$C$109,$C80,'3_Curadoria'!$F$2:$F$109,"E")</f>
        <v/>
      </c>
      <c r="I80" s="2">
        <f>COUNTIFS('3_Curadoria'!$C$2:$C$109,$C80,'3_Curadoria'!$F$2:$F$109,"F")</f>
        <v/>
      </c>
      <c r="J80" s="2">
        <f>COUNTIFS('3_Curadoria'!$C$2:$C$109,$C80,'3_Curadoria'!$F$2:$F$109,"P")</f>
        <v/>
      </c>
      <c r="K80" s="4">
        <f>SUM(D80:J80)</f>
        <v/>
      </c>
    </row>
    <row r="81">
      <c r="C81" s="2" t="inlineStr">
        <is>
          <t>Purina sintética</t>
        </is>
      </c>
      <c r="D81" s="2">
        <f>COUNTIFS('3_Curadoria'!$C$2:$C$109,$C81,'3_Curadoria'!$F$2:$F$109,"A")</f>
        <v/>
      </c>
      <c r="E81" s="2">
        <f>COUNTIFS('3_Curadoria'!$C$2:$C$109,$C81,'3_Curadoria'!$F$2:$F$109,"B")</f>
        <v/>
      </c>
      <c r="F81" s="2">
        <f>COUNTIFS('3_Curadoria'!$C$2:$C$109,$C81,'3_Curadoria'!$F$2:$F$109,"C")</f>
        <v/>
      </c>
      <c r="G81" s="2">
        <f>COUNTIFS('3_Curadoria'!$C$2:$C$109,$C81,'3_Curadoria'!$F$2:$F$109,"D")</f>
        <v/>
      </c>
      <c r="H81" s="2">
        <f>COUNTIFS('3_Curadoria'!$C$2:$C$109,$C81,'3_Curadoria'!$F$2:$F$109,"E")</f>
        <v/>
      </c>
      <c r="I81" s="2">
        <f>COUNTIFS('3_Curadoria'!$C$2:$C$109,$C81,'3_Curadoria'!$F$2:$F$109,"F")</f>
        <v/>
      </c>
      <c r="J81" s="2">
        <f>COUNTIFS('3_Curadoria'!$C$2:$C$109,$C81,'3_Curadoria'!$F$2:$F$109,"P")</f>
        <v/>
      </c>
      <c r="K81" s="4">
        <f>SUM(D81:J81)</f>
        <v/>
      </c>
    </row>
    <row r="82">
      <c r="C82" s="2" t="inlineStr">
        <is>
          <t>Quinolinona</t>
        </is>
      </c>
      <c r="D82" s="2">
        <f>COUNTIFS('3_Curadoria'!$C$2:$C$109,$C82,'3_Curadoria'!$F$2:$F$109,"A")</f>
        <v/>
      </c>
      <c r="E82" s="2">
        <f>COUNTIFS('3_Curadoria'!$C$2:$C$109,$C82,'3_Curadoria'!$F$2:$F$109,"B")</f>
        <v/>
      </c>
      <c r="F82" s="2">
        <f>COUNTIFS('3_Curadoria'!$C$2:$C$109,$C82,'3_Curadoria'!$F$2:$F$109,"C")</f>
        <v/>
      </c>
      <c r="G82" s="2">
        <f>COUNTIFS('3_Curadoria'!$C$2:$C$109,$C82,'3_Curadoria'!$F$2:$F$109,"D")</f>
        <v/>
      </c>
      <c r="H82" s="2">
        <f>COUNTIFS('3_Curadoria'!$C$2:$C$109,$C82,'3_Curadoria'!$F$2:$F$109,"E")</f>
        <v/>
      </c>
      <c r="I82" s="2">
        <f>COUNTIFS('3_Curadoria'!$C$2:$C$109,$C82,'3_Curadoria'!$F$2:$F$109,"F")</f>
        <v/>
      </c>
      <c r="J82" s="2">
        <f>COUNTIFS('3_Curadoria'!$C$2:$C$109,$C82,'3_Curadoria'!$F$2:$F$109,"P")</f>
        <v/>
      </c>
      <c r="K82" s="4">
        <f>SUM(D82:J82)</f>
        <v/>
      </c>
    </row>
    <row r="83">
      <c r="C83" s="2" t="inlineStr">
        <is>
          <t>Repelente sintético</t>
        </is>
      </c>
      <c r="D83" s="2">
        <f>COUNTIFS('3_Curadoria'!$C$2:$C$109,$C83,'3_Curadoria'!$F$2:$F$109,"A")</f>
        <v/>
      </c>
      <c r="E83" s="2">
        <f>COUNTIFS('3_Curadoria'!$C$2:$C$109,$C83,'3_Curadoria'!$F$2:$F$109,"B")</f>
        <v/>
      </c>
      <c r="F83" s="2">
        <f>COUNTIFS('3_Curadoria'!$C$2:$C$109,$C83,'3_Curadoria'!$F$2:$F$109,"C")</f>
        <v/>
      </c>
      <c r="G83" s="2">
        <f>COUNTIFS('3_Curadoria'!$C$2:$C$109,$C83,'3_Curadoria'!$F$2:$F$109,"D")</f>
        <v/>
      </c>
      <c r="H83" s="2">
        <f>COUNTIFS('3_Curadoria'!$C$2:$C$109,$C83,'3_Curadoria'!$F$2:$F$109,"E")</f>
        <v/>
      </c>
      <c r="I83" s="2">
        <f>COUNTIFS('3_Curadoria'!$C$2:$C$109,$C83,'3_Curadoria'!$F$2:$F$109,"F")</f>
        <v/>
      </c>
      <c r="J83" s="2">
        <f>COUNTIFS('3_Curadoria'!$C$2:$C$109,$C83,'3_Curadoria'!$F$2:$F$109,"P")</f>
        <v/>
      </c>
      <c r="K83" s="4">
        <f>SUM(D83:J83)</f>
        <v/>
      </c>
    </row>
    <row r="84">
      <c r="C84" s="2" t="inlineStr">
        <is>
          <t>Secoiridoide glicosilado</t>
        </is>
      </c>
      <c r="D84" s="2">
        <f>COUNTIFS('3_Curadoria'!$C$2:$C$109,$C84,'3_Curadoria'!$F$2:$F$109,"A")</f>
        <v/>
      </c>
      <c r="E84" s="2">
        <f>COUNTIFS('3_Curadoria'!$C$2:$C$109,$C84,'3_Curadoria'!$F$2:$F$109,"B")</f>
        <v/>
      </c>
      <c r="F84" s="2">
        <f>COUNTIFS('3_Curadoria'!$C$2:$C$109,$C84,'3_Curadoria'!$F$2:$F$109,"C")</f>
        <v/>
      </c>
      <c r="G84" s="2">
        <f>COUNTIFS('3_Curadoria'!$C$2:$C$109,$C84,'3_Curadoria'!$F$2:$F$109,"D")</f>
        <v/>
      </c>
      <c r="H84" s="2">
        <f>COUNTIFS('3_Curadoria'!$C$2:$C$109,$C84,'3_Curadoria'!$F$2:$F$109,"E")</f>
        <v/>
      </c>
      <c r="I84" s="2">
        <f>COUNTIFS('3_Curadoria'!$C$2:$C$109,$C84,'3_Curadoria'!$F$2:$F$109,"F")</f>
        <v/>
      </c>
      <c r="J84" s="2">
        <f>COUNTIFS('3_Curadoria'!$C$2:$C$109,$C84,'3_Curadoria'!$F$2:$F$109,"P")</f>
        <v/>
      </c>
      <c r="K84" s="4">
        <f>SUM(D84:J84)</f>
        <v/>
      </c>
    </row>
    <row r="85">
      <c r="C85" s="2" t="inlineStr">
        <is>
          <t>Tetrapirrol (catabólito de clorofila)</t>
        </is>
      </c>
      <c r="D85" s="2">
        <f>COUNTIFS('3_Curadoria'!$C$2:$C$109,$C85,'3_Curadoria'!$F$2:$F$109,"A")</f>
        <v/>
      </c>
      <c r="E85" s="2">
        <f>COUNTIFS('3_Curadoria'!$C$2:$C$109,$C85,'3_Curadoria'!$F$2:$F$109,"B")</f>
        <v/>
      </c>
      <c r="F85" s="2">
        <f>COUNTIFS('3_Curadoria'!$C$2:$C$109,$C85,'3_Curadoria'!$F$2:$F$109,"C")</f>
        <v/>
      </c>
      <c r="G85" s="2">
        <f>COUNTIFS('3_Curadoria'!$C$2:$C$109,$C85,'3_Curadoria'!$F$2:$F$109,"D")</f>
        <v/>
      </c>
      <c r="H85" s="2">
        <f>COUNTIFS('3_Curadoria'!$C$2:$C$109,$C85,'3_Curadoria'!$F$2:$F$109,"E")</f>
        <v/>
      </c>
      <c r="I85" s="2">
        <f>COUNTIFS('3_Curadoria'!$C$2:$C$109,$C85,'3_Curadoria'!$F$2:$F$109,"F")</f>
        <v/>
      </c>
      <c r="J85" s="2">
        <f>COUNTIFS('3_Curadoria'!$C$2:$C$109,$C85,'3_Curadoria'!$F$2:$F$109,"P")</f>
        <v/>
      </c>
      <c r="K85" s="4">
        <f>SUM(D85:J85)</f>
        <v/>
      </c>
    </row>
    <row r="86">
      <c r="C86" s="2" t="inlineStr">
        <is>
          <t>Ureia sintética</t>
        </is>
      </c>
      <c r="D86" s="2">
        <f>COUNTIFS('3_Curadoria'!$C$2:$C$109,$C86,'3_Curadoria'!$F$2:$F$109,"A")</f>
        <v/>
      </c>
      <c r="E86" s="2">
        <f>COUNTIFS('3_Curadoria'!$C$2:$C$109,$C86,'3_Curadoria'!$F$2:$F$109,"B")</f>
        <v/>
      </c>
      <c r="F86" s="2">
        <f>COUNTIFS('3_Curadoria'!$C$2:$C$109,$C86,'3_Curadoria'!$F$2:$F$109,"C")</f>
        <v/>
      </c>
      <c r="G86" s="2">
        <f>COUNTIFS('3_Curadoria'!$C$2:$C$109,$C86,'3_Curadoria'!$F$2:$F$109,"D")</f>
        <v/>
      </c>
      <c r="H86" s="2">
        <f>COUNTIFS('3_Curadoria'!$C$2:$C$109,$C86,'3_Curadoria'!$F$2:$F$109,"E")</f>
        <v/>
      </c>
      <c r="I86" s="2">
        <f>COUNTIFS('3_Curadoria'!$C$2:$C$109,$C86,'3_Curadoria'!$F$2:$F$109,"F")</f>
        <v/>
      </c>
      <c r="J86" s="2">
        <f>COUNTIFS('3_Curadoria'!$C$2:$C$109,$C86,'3_Curadoria'!$F$2:$F$109,"P")</f>
        <v/>
      </c>
      <c r="K86" s="4">
        <f>SUM(D86:J86)</f>
        <v/>
      </c>
    </row>
    <row r="87">
      <c r="C87" s="2" t="inlineStr">
        <is>
          <t>Ácido dicarboxílico</t>
        </is>
      </c>
      <c r="D87" s="2">
        <f>COUNTIFS('3_Curadoria'!$C$2:$C$109,$C87,'3_Curadoria'!$F$2:$F$109,"A")</f>
        <v/>
      </c>
      <c r="E87" s="2">
        <f>COUNTIFS('3_Curadoria'!$C$2:$C$109,$C87,'3_Curadoria'!$F$2:$F$109,"B")</f>
        <v/>
      </c>
      <c r="F87" s="2">
        <f>COUNTIFS('3_Curadoria'!$C$2:$C$109,$C87,'3_Curadoria'!$F$2:$F$109,"C")</f>
        <v/>
      </c>
      <c r="G87" s="2">
        <f>COUNTIFS('3_Curadoria'!$C$2:$C$109,$C87,'3_Curadoria'!$F$2:$F$109,"D")</f>
        <v/>
      </c>
      <c r="H87" s="2">
        <f>COUNTIFS('3_Curadoria'!$C$2:$C$109,$C87,'3_Curadoria'!$F$2:$F$109,"E")</f>
        <v/>
      </c>
      <c r="I87" s="2">
        <f>COUNTIFS('3_Curadoria'!$C$2:$C$109,$C87,'3_Curadoria'!$F$2:$F$109,"F")</f>
        <v/>
      </c>
      <c r="J87" s="2">
        <f>COUNTIFS('3_Curadoria'!$C$2:$C$109,$C87,'3_Curadoria'!$F$2:$F$109,"P")</f>
        <v/>
      </c>
      <c r="K87" s="4">
        <f>SUM(D87:J87)</f>
        <v/>
      </c>
    </row>
    <row r="88">
      <c r="C88" s="2" t="inlineStr">
        <is>
          <t>Ácido graxo (18:3)</t>
        </is>
      </c>
      <c r="D88" s="2">
        <f>COUNTIFS('3_Curadoria'!$C$2:$C$109,$C88,'3_Curadoria'!$F$2:$F$109,"A")</f>
        <v/>
      </c>
      <c r="E88" s="2">
        <f>COUNTIFS('3_Curadoria'!$C$2:$C$109,$C88,'3_Curadoria'!$F$2:$F$109,"B")</f>
        <v/>
      </c>
      <c r="F88" s="2">
        <f>COUNTIFS('3_Curadoria'!$C$2:$C$109,$C88,'3_Curadoria'!$F$2:$F$109,"C")</f>
        <v/>
      </c>
      <c r="G88" s="2">
        <f>COUNTIFS('3_Curadoria'!$C$2:$C$109,$C88,'3_Curadoria'!$F$2:$F$109,"D")</f>
        <v/>
      </c>
      <c r="H88" s="2">
        <f>COUNTIFS('3_Curadoria'!$C$2:$C$109,$C88,'3_Curadoria'!$F$2:$F$109,"E")</f>
        <v/>
      </c>
      <c r="I88" s="2">
        <f>COUNTIFS('3_Curadoria'!$C$2:$C$109,$C88,'3_Curadoria'!$F$2:$F$109,"F")</f>
        <v/>
      </c>
      <c r="J88" s="2">
        <f>COUNTIFS('3_Curadoria'!$C$2:$C$109,$C88,'3_Curadoria'!$F$2:$F$109,"P")</f>
        <v/>
      </c>
      <c r="K88" s="4">
        <f>SUM(D88:J88)</f>
        <v/>
      </c>
    </row>
    <row r="89">
      <c r="C89" s="2" t="inlineStr">
        <is>
          <t>Ácido graxo (lactona)</t>
        </is>
      </c>
      <c r="D89" s="2">
        <f>COUNTIFS('3_Curadoria'!$C$2:$C$109,$C89,'3_Curadoria'!$F$2:$F$109,"A")</f>
        <v/>
      </c>
      <c r="E89" s="2">
        <f>COUNTIFS('3_Curadoria'!$C$2:$C$109,$C89,'3_Curadoria'!$F$2:$F$109,"B")</f>
        <v/>
      </c>
      <c r="F89" s="2">
        <f>COUNTIFS('3_Curadoria'!$C$2:$C$109,$C89,'3_Curadoria'!$F$2:$F$109,"C")</f>
        <v/>
      </c>
      <c r="G89" s="2">
        <f>COUNTIFS('3_Curadoria'!$C$2:$C$109,$C89,'3_Curadoria'!$F$2:$F$109,"D")</f>
        <v/>
      </c>
      <c r="H89" s="2">
        <f>COUNTIFS('3_Curadoria'!$C$2:$C$109,$C89,'3_Curadoria'!$F$2:$F$109,"E")</f>
        <v/>
      </c>
      <c r="I89" s="2">
        <f>COUNTIFS('3_Curadoria'!$C$2:$C$109,$C89,'3_Curadoria'!$F$2:$F$109,"F")</f>
        <v/>
      </c>
      <c r="J89" s="2">
        <f>COUNTIFS('3_Curadoria'!$C$2:$C$109,$C89,'3_Curadoria'!$F$2:$F$109,"P")</f>
        <v/>
      </c>
      <c r="K89" s="4">
        <f>SUM(D89:J89)</f>
        <v/>
      </c>
    </row>
    <row r="90">
      <c r="C90" s="2" t="inlineStr">
        <is>
          <t>Ácido hidroxibenzoico</t>
        </is>
      </c>
      <c r="D90" s="2">
        <f>COUNTIFS('3_Curadoria'!$C$2:$C$109,$C90,'3_Curadoria'!$F$2:$F$109,"A")</f>
        <v/>
      </c>
      <c r="E90" s="2">
        <f>COUNTIFS('3_Curadoria'!$C$2:$C$109,$C90,'3_Curadoria'!$F$2:$F$109,"B")</f>
        <v/>
      </c>
      <c r="F90" s="2">
        <f>COUNTIFS('3_Curadoria'!$C$2:$C$109,$C90,'3_Curadoria'!$F$2:$F$109,"C")</f>
        <v/>
      </c>
      <c r="G90" s="2">
        <f>COUNTIFS('3_Curadoria'!$C$2:$C$109,$C90,'3_Curadoria'!$F$2:$F$109,"D")</f>
        <v/>
      </c>
      <c r="H90" s="2">
        <f>COUNTIFS('3_Curadoria'!$C$2:$C$109,$C90,'3_Curadoria'!$F$2:$F$109,"E")</f>
        <v/>
      </c>
      <c r="I90" s="2">
        <f>COUNTIFS('3_Curadoria'!$C$2:$C$109,$C90,'3_Curadoria'!$F$2:$F$109,"F")</f>
        <v/>
      </c>
      <c r="J90" s="2">
        <f>COUNTIFS('3_Curadoria'!$C$2:$C$109,$C90,'3_Curadoria'!$F$2:$F$109,"P")</f>
        <v/>
      </c>
      <c r="K90" s="4">
        <f>SUM(D90:J90)</f>
        <v/>
      </c>
    </row>
    <row r="91">
      <c r="C91" s="2" t="inlineStr">
        <is>
          <t>Ácido hidroxicinâmico</t>
        </is>
      </c>
      <c r="D91" s="2">
        <f>COUNTIFS('3_Curadoria'!$C$2:$C$109,$C91,'3_Curadoria'!$F$2:$F$109,"A")</f>
        <v/>
      </c>
      <c r="E91" s="2">
        <f>COUNTIFS('3_Curadoria'!$C$2:$C$109,$C91,'3_Curadoria'!$F$2:$F$109,"B")</f>
        <v/>
      </c>
      <c r="F91" s="2">
        <f>COUNTIFS('3_Curadoria'!$C$2:$C$109,$C91,'3_Curadoria'!$F$2:$F$109,"C")</f>
        <v/>
      </c>
      <c r="G91" s="2">
        <f>COUNTIFS('3_Curadoria'!$C$2:$C$109,$C91,'3_Curadoria'!$F$2:$F$109,"D")</f>
        <v/>
      </c>
      <c r="H91" s="2">
        <f>COUNTIFS('3_Curadoria'!$C$2:$C$109,$C91,'3_Curadoria'!$F$2:$F$109,"E")</f>
        <v/>
      </c>
      <c r="I91" s="2">
        <f>COUNTIFS('3_Curadoria'!$C$2:$C$109,$C91,'3_Curadoria'!$F$2:$F$109,"F")</f>
        <v/>
      </c>
      <c r="J91" s="2">
        <f>COUNTIFS('3_Curadoria'!$C$2:$C$109,$C91,'3_Curadoria'!$F$2:$F$109,"P")</f>
        <v/>
      </c>
      <c r="K91" s="4">
        <f>SUM(D91:J91)</f>
        <v/>
      </c>
    </row>
    <row r="92">
      <c r="C92" s="2" t="inlineStr">
        <is>
          <t>Ácido orgânico de cadeia curta</t>
        </is>
      </c>
      <c r="D92" s="2">
        <f>COUNTIFS('3_Curadoria'!$C$2:$C$109,$C92,'3_Curadoria'!$F$2:$F$109,"A")</f>
        <v/>
      </c>
      <c r="E92" s="2">
        <f>COUNTIFS('3_Curadoria'!$C$2:$C$109,$C92,'3_Curadoria'!$F$2:$F$109,"B")</f>
        <v/>
      </c>
      <c r="F92" s="2">
        <f>COUNTIFS('3_Curadoria'!$C$2:$C$109,$C92,'3_Curadoria'!$F$2:$F$109,"C")</f>
        <v/>
      </c>
      <c r="G92" s="2">
        <f>COUNTIFS('3_Curadoria'!$C$2:$C$109,$C92,'3_Curadoria'!$F$2:$F$109,"D")</f>
        <v/>
      </c>
      <c r="H92" s="2">
        <f>COUNTIFS('3_Curadoria'!$C$2:$C$109,$C92,'3_Curadoria'!$F$2:$F$109,"E")</f>
        <v/>
      </c>
      <c r="I92" s="2">
        <f>COUNTIFS('3_Curadoria'!$C$2:$C$109,$C92,'3_Curadoria'!$F$2:$F$109,"F")</f>
        <v/>
      </c>
      <c r="J92" s="2">
        <f>COUNTIFS('3_Curadoria'!$C$2:$C$109,$C92,'3_Curadoria'!$F$2:$F$109,"P")</f>
        <v/>
      </c>
      <c r="K92" s="4">
        <f>SUM(D92:J92)</f>
        <v/>
      </c>
    </row>
    <row r="93">
      <c r="C93" s="2" t="inlineStr">
        <is>
          <t>Álcool benzílico</t>
        </is>
      </c>
      <c r="D93" s="2">
        <f>COUNTIFS('3_Curadoria'!$C$2:$C$109,$C93,'3_Curadoria'!$F$2:$F$109,"A")</f>
        <v/>
      </c>
      <c r="E93" s="2">
        <f>COUNTIFS('3_Curadoria'!$C$2:$C$109,$C93,'3_Curadoria'!$F$2:$F$109,"B")</f>
        <v/>
      </c>
      <c r="F93" s="2">
        <f>COUNTIFS('3_Curadoria'!$C$2:$C$109,$C93,'3_Curadoria'!$F$2:$F$109,"C")</f>
        <v/>
      </c>
      <c r="G93" s="2">
        <f>COUNTIFS('3_Curadoria'!$C$2:$C$109,$C93,'3_Curadoria'!$F$2:$F$109,"D")</f>
        <v/>
      </c>
      <c r="H93" s="2">
        <f>COUNTIFS('3_Curadoria'!$C$2:$C$109,$C93,'3_Curadoria'!$F$2:$F$109,"E")</f>
        <v/>
      </c>
      <c r="I93" s="2">
        <f>COUNTIFS('3_Curadoria'!$C$2:$C$109,$C93,'3_Curadoria'!$F$2:$F$109,"F")</f>
        <v/>
      </c>
      <c r="J93" s="2">
        <f>COUNTIFS('3_Curadoria'!$C$2:$C$109,$C93,'3_Curadoria'!$F$2:$F$109,"P")</f>
        <v/>
      </c>
      <c r="K93" s="4">
        <f>SUM(D93:J93)</f>
        <v/>
      </c>
    </row>
    <row r="94">
      <c r="C94" s="2" t="inlineStr">
        <is>
          <t>Éster metílico de ácido graxo</t>
        </is>
      </c>
      <c r="D94" s="2">
        <f>COUNTIFS('3_Curadoria'!$C$2:$C$109,$C94,'3_Curadoria'!$F$2:$F$109,"A")</f>
        <v/>
      </c>
      <c r="E94" s="2">
        <f>COUNTIFS('3_Curadoria'!$C$2:$C$109,$C94,'3_Curadoria'!$F$2:$F$109,"B")</f>
        <v/>
      </c>
      <c r="F94" s="2">
        <f>COUNTIFS('3_Curadoria'!$C$2:$C$109,$C94,'3_Curadoria'!$F$2:$F$109,"C")</f>
        <v/>
      </c>
      <c r="G94" s="2">
        <f>COUNTIFS('3_Curadoria'!$C$2:$C$109,$C94,'3_Curadoria'!$F$2:$F$109,"D")</f>
        <v/>
      </c>
      <c r="H94" s="2">
        <f>COUNTIFS('3_Curadoria'!$C$2:$C$109,$C94,'3_Curadoria'!$F$2:$F$109,"E")</f>
        <v/>
      </c>
      <c r="I94" s="2">
        <f>COUNTIFS('3_Curadoria'!$C$2:$C$109,$C94,'3_Curadoria'!$F$2:$F$109,"F")</f>
        <v/>
      </c>
      <c r="J94" s="2">
        <f>COUNTIFS('3_Curadoria'!$C$2:$C$109,$C94,'3_Curadoria'!$F$2:$F$109,"P")</f>
        <v/>
      </c>
      <c r="K94" s="4">
        <f>SUM(D94:J94)</f>
        <v/>
      </c>
    </row>
    <row r="95">
      <c r="C95" s="2" t="inlineStr">
        <is>
          <t>β-carbolina</t>
        </is>
      </c>
      <c r="D95" s="2">
        <f>COUNTIFS('3_Curadoria'!$C$2:$C$109,$C95,'3_Curadoria'!$F$2:$F$109,"A")</f>
        <v/>
      </c>
      <c r="E95" s="2">
        <f>COUNTIFS('3_Curadoria'!$C$2:$C$109,$C95,'3_Curadoria'!$F$2:$F$109,"B")</f>
        <v/>
      </c>
      <c r="F95" s="2">
        <f>COUNTIFS('3_Curadoria'!$C$2:$C$109,$C95,'3_Curadoria'!$F$2:$F$109,"C")</f>
        <v/>
      </c>
      <c r="G95" s="2">
        <f>COUNTIFS('3_Curadoria'!$C$2:$C$109,$C95,'3_Curadoria'!$F$2:$F$109,"D")</f>
        <v/>
      </c>
      <c r="H95" s="2">
        <f>COUNTIFS('3_Curadoria'!$C$2:$C$109,$C95,'3_Curadoria'!$F$2:$F$109,"E")</f>
        <v/>
      </c>
      <c r="I95" s="2">
        <f>COUNTIFS('3_Curadoria'!$C$2:$C$109,$C95,'3_Curadoria'!$F$2:$F$109,"F")</f>
        <v/>
      </c>
      <c r="J95" s="2">
        <f>COUNTIFS('3_Curadoria'!$C$2:$C$109,$C95,'3_Curadoria'!$F$2:$F$109,"P")</f>
        <v/>
      </c>
      <c r="K95" s="4">
        <f>SUM(D95:J95)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 ht="32" customHeight="1">
      <c r="A1" s="21" t="inlineStr">
        <is>
          <t>Número</t>
        </is>
      </c>
      <c r="B1" s="21" t="inlineStr">
        <is>
          <t>Componente (original)</t>
        </is>
      </c>
    </row>
    <row r="2">
      <c r="A2" s="2" t="n">
        <v>1</v>
      </c>
      <c r="B2" s="2" t="inlineStr">
        <is>
          <t>(1)-1,2,3,4-Tetrahydroisoquinoline-3-carboxylic acid CollisionEnergy:205060</t>
        </is>
      </c>
    </row>
    <row r="3">
      <c r="A3" s="2" t="n">
        <v>2</v>
      </c>
      <c r="B3" s="2" t="inlineStr">
        <is>
          <t>1-(2H-benzo[3,4-d]1,3-dioxolen-5-yl)-5-[(4-piperidylphenyl)methylene]-1,3-dihy dropyrimidine-2,4,6-trione CollisionEnergy:102040</t>
        </is>
      </c>
    </row>
    <row r="4">
      <c r="A4" s="2" t="n">
        <v>3</v>
      </c>
      <c r="B4" s="2" t="inlineStr">
        <is>
          <t>1-(2-Hydroxyethyl)-2,2,6,6-tetramethyl-4-piperidinol</t>
        </is>
      </c>
    </row>
    <row r="5">
      <c r="A5" s="2" t="n">
        <v>4</v>
      </c>
      <c r="B5" s="2" t="inlineStr">
        <is>
          <t>1,7-bis(4-hydroxyphenyl)-5-[(2R,3R,4S,5S,6R)-3,4,5-trihydroxy-6-(hydroxymethyl)oxan-2-yl]oxyheptan-3-one</t>
        </is>
      </c>
    </row>
    <row r="6">
      <c r="A6" s="2" t="n">
        <v>5</v>
      </c>
      <c r="B6" s="2" t="inlineStr">
        <is>
          <t>(1R,3r,8S,9r)-1,8-dimethyl-3,6-diazatricyclo[4.3.1.1(3,8)]undecan-9-ol</t>
        </is>
      </c>
    </row>
    <row r="7">
      <c r="A7" s="2" t="n">
        <v>6</v>
      </c>
      <c r="B7" s="2" t="inlineStr">
        <is>
          <t>[(1S,9S,13R,14R)-14-hydroxy-14-(hydroxymethyl)-5,5-dimethyltetracyclo[11.2.1.0¹,¹?.0?,?]hexadecan-9-yl]methyl (2E)-3-(3,4-dihydroxyphenyl)prop-2-enoate</t>
        </is>
      </c>
    </row>
    <row r="8">
      <c r="A8" s="2" t="n">
        <v>7</v>
      </c>
      <c r="B8" s="2" t="inlineStr">
        <is>
          <t>2,2'-Dihydroxychalcone CollisionEnergy:102040</t>
        </is>
      </c>
    </row>
    <row r="9">
      <c r="A9" s="2" t="n">
        <v>8</v>
      </c>
      <c r="B9" s="2" t="inlineStr">
        <is>
          <t>2',5-Dimethoxyflavone CollisionEnergy:102040</t>
        </is>
      </c>
    </row>
    <row r="10">
      <c r="A10" s="2" t="n">
        <v>9</v>
      </c>
      <c r="B10" s="2" t="inlineStr">
        <is>
          <t>2-Hydroxy-4,6-dimethoxyacetophenone</t>
        </is>
      </c>
    </row>
    <row r="11">
      <c r="A11" s="2" t="n">
        <v>10</v>
      </c>
      <c r="B11" s="2" t="inlineStr">
        <is>
          <t>3.10S-Hydroxypheophorbide a</t>
        </is>
      </c>
    </row>
    <row r="12">
      <c r="A12" s="2" t="n">
        <v>11</v>
      </c>
      <c r="B12" s="2" t="inlineStr">
        <is>
          <t>3,4,5-Trimethoxyphenol CollisionEnergy:102040</t>
        </is>
      </c>
    </row>
    <row r="13">
      <c r="A13" s="2" t="n">
        <v>12</v>
      </c>
      <c r="B13" s="2" t="inlineStr">
        <is>
          <t>3,4,5-Trimethoxyphenol CollisionEnergy:205060</t>
        </is>
      </c>
    </row>
    <row r="14">
      <c r="A14" s="2" t="n">
        <v>13</v>
      </c>
      <c r="B14" s="2" t="inlineStr">
        <is>
          <t>3-HYDROXY-2-METHYL-4-PYRONE</t>
        </is>
      </c>
    </row>
    <row r="15">
      <c r="A15" s="2" t="n">
        <v>14</v>
      </c>
      <c r="B15" s="2" t="inlineStr">
        <is>
          <t>3-hydroxybenzyl alcohol CollisionEnergy:102040</t>
        </is>
      </c>
    </row>
    <row r="16">
      <c r="A16" s="2" t="n">
        <v>15</v>
      </c>
      <c r="B16" s="2" t="inlineStr">
        <is>
          <t>3-hydroxybenzyl alcohol CollisionEnergy:205060</t>
        </is>
      </c>
    </row>
    <row r="17">
      <c r="A17" s="2" t="n">
        <v>16</v>
      </c>
      <c r="B17" s="2" t="inlineStr">
        <is>
          <t>3-Indoleacrylic acid CollisionEnergy:205060</t>
        </is>
      </c>
    </row>
    <row r="18">
      <c r="A18" s="2" t="n">
        <v>17</v>
      </c>
      <c r="B18" s="2" t="inlineStr">
        <is>
          <t>4-hydroxy-3-[(E)-7-hydroxy-3,7-dimethyl-4-oxooct-5-enyl]-5-(3-methylbut-2-enyl)benzoic acid</t>
        </is>
      </c>
    </row>
    <row r="19">
      <c r="A19" s="2" t="n">
        <v>18</v>
      </c>
      <c r="B19" s="2" t="inlineStr">
        <is>
          <t>4'-HYDROXYCHALCONE</t>
        </is>
      </c>
    </row>
    <row r="20">
      <c r="A20" s="2" t="n">
        <v>19</v>
      </c>
      <c r="B20" s="2" t="inlineStr">
        <is>
          <t>4-((hydroxyimino)methyl)-1-methylhydroquinolin-2-one CollisionEnergy:102040</t>
        </is>
      </c>
    </row>
    <row r="21">
      <c r="A21" s="2" t="n">
        <v>20</v>
      </c>
      <c r="B21" s="2" t="inlineStr">
        <is>
          <t>(4S,5Z,6S)-4-(2-methoxy-2-oxoethyl)-5-[2-[(E)-3-phenylprop-2-enoyl]oxyethylidene]-6-[(2S,3R,4S,5S,6R)-3,4,5-trihydroxy-6-(hydroxymethyl)oxan-2-yl]oxy-4H-pyran-3-carboxylic acid</t>
        </is>
      </c>
    </row>
    <row r="22">
      <c r="A22" s="2" t="n">
        <v>21</v>
      </c>
      <c r="B22" s="2" t="inlineStr">
        <is>
          <t>6-ethyl-4-methylhydroquinolin-2-one CollisionEnergy:205060</t>
        </is>
      </c>
    </row>
    <row r="23">
      <c r="A23" s="2" t="n">
        <v>22</v>
      </c>
      <c r="B23" s="2" t="inlineStr">
        <is>
          <t>6-methoxy-4-methyl-2H-chromen-2-one</t>
        </is>
      </c>
    </row>
    <row r="24">
      <c r="A24" s="2" t="n">
        <v>23</v>
      </c>
      <c r="B24" s="2" t="inlineStr">
        <is>
          <t>6-(Methylthio)guanine CollisionEnergy:205060</t>
        </is>
      </c>
    </row>
    <row r="25">
      <c r="A25" s="2" t="n">
        <v>24</v>
      </c>
      <c r="B25" s="2" t="inlineStr">
        <is>
          <t>7-hydroxy-2-(4-hydroxy-3,5-dimethoxyphenyl)-5-[(2S,3R,4S,5S,6R)-3,4,5-trihydroxy-6-(hydroxymethyl)oxan-2-yl]oxychromen-4-one</t>
        </is>
      </c>
    </row>
    <row r="26">
      <c r="A26" s="2" t="n">
        <v>25</v>
      </c>
      <c r="B26" s="2" t="inlineStr">
        <is>
          <t>ACETOACETATE - 70.0 eV</t>
        </is>
      </c>
    </row>
    <row r="27">
      <c r="A27" s="2" t="n">
        <v>26</v>
      </c>
      <c r="B27" s="2" t="inlineStr">
        <is>
          <t>AC-LYS-OH - 40.0 eV</t>
        </is>
      </c>
    </row>
    <row r="28">
      <c r="A28" s="2" t="n">
        <v>27</v>
      </c>
      <c r="B28" s="2" t="inlineStr">
        <is>
          <t>ALLO-ISOLEUCINE</t>
        </is>
      </c>
    </row>
    <row r="29">
      <c r="A29" s="2" t="n">
        <v>28</v>
      </c>
      <c r="B29" s="2" t="inlineStr">
        <is>
          <t>ARABINOSE</t>
        </is>
      </c>
    </row>
    <row r="30">
      <c r="A30" s="2" t="n">
        <v>29</v>
      </c>
      <c r="B30" s="2" t="inlineStr">
        <is>
          <t>Arginine - 70.00 eV</t>
        </is>
      </c>
    </row>
    <row r="31">
      <c r="A31" s="2" t="n">
        <v>30</v>
      </c>
      <c r="B31" s="2" t="inlineStr">
        <is>
          <t>ASPARAGINE</t>
        </is>
      </c>
    </row>
    <row r="32">
      <c r="A32" s="2" t="n">
        <v>31</v>
      </c>
      <c r="B32" s="2" t="inlineStr">
        <is>
          <t>ASP-PHE</t>
        </is>
      </c>
    </row>
    <row r="33">
      <c r="A33" s="2" t="n">
        <v>32</v>
      </c>
      <c r="B33" s="2" t="inlineStr">
        <is>
          <t>BERBAMINE CollisionEnergy:102040</t>
        </is>
      </c>
    </row>
    <row r="34">
      <c r="A34" s="2" t="n">
        <v>33</v>
      </c>
      <c r="B34" s="2" t="inlineStr">
        <is>
          <t>CAFFEINE - 20.0 eV</t>
        </is>
      </c>
    </row>
    <row r="35">
      <c r="A35" s="2" t="n">
        <v>34</v>
      </c>
      <c r="B35" s="2" t="inlineStr">
        <is>
          <t>CHOLINE</t>
        </is>
      </c>
    </row>
    <row r="36">
      <c r="A36" s="2" t="n">
        <v>35</v>
      </c>
      <c r="B36" s="2" t="inlineStr">
        <is>
          <t>Contaminants septum vial Thermo C4000-53 and C4000-54 serie</t>
        </is>
      </c>
    </row>
    <row r="37">
      <c r="A37" s="2" t="n">
        <v>36</v>
      </c>
      <c r="B37" s="2" t="inlineStr">
        <is>
          <t>Cyclohexylamine</t>
        </is>
      </c>
    </row>
    <row r="38">
      <c r="A38" s="2" t="n">
        <v>37</v>
      </c>
      <c r="B38" s="2" t="inlineStr">
        <is>
          <t>cyclo(L-Val-L-Pro)</t>
        </is>
      </c>
    </row>
    <row r="39">
      <c r="A39" s="2" t="n">
        <v>38</v>
      </c>
      <c r="B39" s="2" t="inlineStr">
        <is>
          <t>DAG (16:0/18:2)</t>
        </is>
      </c>
    </row>
    <row r="40">
      <c r="A40" s="2" t="n">
        <v>39</v>
      </c>
      <c r="B40" s="2" t="inlineStr">
        <is>
          <t>d-Dethiobiotin CollisionEnergy:102040</t>
        </is>
      </c>
    </row>
    <row r="41">
      <c r="A41" s="2" t="n">
        <v>40</v>
      </c>
      <c r="B41" s="2" t="inlineStr">
        <is>
          <t>Diosmin</t>
        </is>
      </c>
    </row>
    <row r="42">
      <c r="A42" s="2" t="n">
        <v>41</v>
      </c>
      <c r="B42" s="2" t="inlineStr">
        <is>
          <t>D-Mannitol</t>
        </is>
      </c>
    </row>
    <row r="43">
      <c r="A43" s="2" t="n">
        <v>42</v>
      </c>
      <c r="B43" s="2" t="inlineStr">
        <is>
          <t>ferulic acid CollisionEnergy:205060</t>
        </is>
      </c>
    </row>
    <row r="44">
      <c r="A44" s="2" t="n">
        <v>43</v>
      </c>
      <c r="B44" s="2" t="inlineStr">
        <is>
          <t>Finasteride</t>
        </is>
      </c>
    </row>
    <row r="45">
      <c r="A45" s="2" t="n">
        <v>44</v>
      </c>
      <c r="B45" s="2" t="inlineStr">
        <is>
          <t>Gitoxigenin Diacetate</t>
        </is>
      </c>
    </row>
    <row r="46">
      <c r="A46" s="2" t="n">
        <v>45</v>
      </c>
      <c r="B46" s="2" t="inlineStr">
        <is>
          <t>GLUCOSAMINE</t>
        </is>
      </c>
    </row>
    <row r="47">
      <c r="A47" s="2" t="n">
        <v>46</v>
      </c>
      <c r="B47" s="2" t="inlineStr">
        <is>
          <t>Glycyl-L-leucine CollisionEnergy:205060</t>
        </is>
      </c>
    </row>
    <row r="48">
      <c r="A48" s="2" t="n">
        <v>47</v>
      </c>
      <c r="B48" s="2" t="inlineStr">
        <is>
          <t>Gly-Leu - 40.0 eV</t>
        </is>
      </c>
    </row>
    <row r="49">
      <c r="A49" s="2" t="n">
        <v>48</v>
      </c>
      <c r="B49" s="2" t="inlineStr">
        <is>
          <t>guaiacol CollisionEnergy:102040</t>
        </is>
      </c>
    </row>
    <row r="50">
      <c r="A50" s="2" t="n">
        <v>49</v>
      </c>
      <c r="B50" s="2" t="inlineStr">
        <is>
          <t>guaiacol CollisionEnergy:205060</t>
        </is>
      </c>
    </row>
    <row r="51">
      <c r="A51" s="2" t="n">
        <v>50</v>
      </c>
      <c r="B51" s="2" t="inlineStr">
        <is>
          <t>Guanosine - 40.0 eV</t>
        </is>
      </c>
    </row>
    <row r="52">
      <c r="A52" s="2" t="n">
        <v>51</v>
      </c>
      <c r="B52" s="2" t="inlineStr">
        <is>
          <t>GUANOSINE - 40.0 eV</t>
        </is>
      </c>
    </row>
    <row r="53">
      <c r="A53" s="2" t="n">
        <v>52</v>
      </c>
      <c r="B53" s="2" t="inlineStr">
        <is>
          <t>Harmane</t>
        </is>
      </c>
    </row>
    <row r="54">
      <c r="A54" s="2" t="n">
        <v>53</v>
      </c>
      <c r="B54" s="2" t="inlineStr">
        <is>
          <t>HMDB:HMDB02001-1936 Dimethylmalonic acid</t>
        </is>
      </c>
    </row>
    <row r="55">
      <c r="A55" s="2" t="n">
        <v>54</v>
      </c>
      <c r="B55" s="2" t="inlineStr">
        <is>
          <t>HYPOXANTHINE</t>
        </is>
      </c>
    </row>
    <row r="56">
      <c r="A56" s="2" t="n">
        <v>55</v>
      </c>
      <c r="B56" s="2" t="inlineStr">
        <is>
          <t>INDOLEACETIC ACID</t>
        </is>
      </c>
    </row>
    <row r="57">
      <c r="A57" s="2" t="n">
        <v>56</v>
      </c>
      <c r="B57" s="2" t="inlineStr">
        <is>
          <t>INDOLEACRYLIC ACID</t>
        </is>
      </c>
    </row>
    <row r="58">
      <c r="A58" s="2" t="n">
        <v>57</v>
      </c>
      <c r="B58" s="2" t="inlineStr">
        <is>
          <t>ISOLEUCINE</t>
        </is>
      </c>
    </row>
    <row r="59">
      <c r="A59" s="2" t="n">
        <v>58</v>
      </c>
      <c r="B59" s="2" t="inlineStr">
        <is>
          <t>ISOLEUCINE - 20.0 eV</t>
        </is>
      </c>
    </row>
    <row r="60">
      <c r="A60" s="2" t="n">
        <v>59</v>
      </c>
      <c r="B60" s="2" t="inlineStr">
        <is>
          <t>ISOLEUCINE - 30.0 eV</t>
        </is>
      </c>
    </row>
    <row r="61">
      <c r="A61" s="2" t="n">
        <v>60</v>
      </c>
      <c r="B61" s="2" t="inlineStr">
        <is>
          <t>Isovaleric acid</t>
        </is>
      </c>
    </row>
    <row r="62">
      <c r="A62" s="2" t="n">
        <v>61</v>
      </c>
      <c r="B62" s="2" t="inlineStr">
        <is>
          <t>jasmonic acid methyl ester CollisionEnergy:205060</t>
        </is>
      </c>
    </row>
    <row r="63">
      <c r="A63" s="2" t="n">
        <v>62</v>
      </c>
      <c r="B63" s="2" t="inlineStr">
        <is>
          <t>kynurenic acid CollisionEnergy:205060</t>
        </is>
      </c>
    </row>
    <row r="64">
      <c r="A64" s="2" t="n">
        <v>63</v>
      </c>
      <c r="B64" s="2" t="inlineStr">
        <is>
          <t>LEUCINE</t>
        </is>
      </c>
    </row>
    <row r="65">
      <c r="A65" s="2" t="n">
        <v>64</v>
      </c>
      <c r="B65" s="2" t="inlineStr">
        <is>
          <t>Leucine - 20.00 eV</t>
        </is>
      </c>
    </row>
    <row r="66">
      <c r="A66" s="2" t="n">
        <v>65</v>
      </c>
      <c r="B66" s="2" t="inlineStr">
        <is>
          <t>LEUCINE - 20.00 eV</t>
        </is>
      </c>
    </row>
    <row r="67">
      <c r="A67" s="2" t="n">
        <v>66</v>
      </c>
      <c r="B67" s="2" t="inlineStr">
        <is>
          <t>LEUCINE - 30.00 eV</t>
        </is>
      </c>
    </row>
    <row r="68">
      <c r="A68" s="2" t="n">
        <v>67</v>
      </c>
      <c r="B68" s="2" t="inlineStr">
        <is>
          <t>Leucine - 60.00 eV</t>
        </is>
      </c>
    </row>
    <row r="69">
      <c r="A69" s="2" t="n">
        <v>68</v>
      </c>
      <c r="B69" s="2" t="inlineStr">
        <is>
          <t>LEUCINE - 60.00 eV</t>
        </is>
      </c>
    </row>
    <row r="70">
      <c r="A70" s="2" t="n">
        <v>69</v>
      </c>
      <c r="B70" s="2" t="inlineStr">
        <is>
          <t>Lichesterylic acid</t>
        </is>
      </c>
    </row>
    <row r="71">
      <c r="A71" s="2" t="n">
        <v>70</v>
      </c>
      <c r="B71" s="2" t="inlineStr">
        <is>
          <t>L-(+)-Isoleucine - 40.0 eV</t>
        </is>
      </c>
    </row>
    <row r="72">
      <c r="A72" s="2" t="n">
        <v>71</v>
      </c>
      <c r="B72" s="2" t="inlineStr">
        <is>
          <t>L-leucine</t>
        </is>
      </c>
    </row>
    <row r="73">
      <c r="A73" s="2" t="n">
        <v>72</v>
      </c>
      <c r="B73" s="2" t="inlineStr">
        <is>
          <t>L-(+)-norleucine - 40.0 eV</t>
        </is>
      </c>
    </row>
    <row r="74">
      <c r="A74" s="2" t="n">
        <v>73</v>
      </c>
      <c r="B74" s="2" t="inlineStr">
        <is>
          <t>Loliolide</t>
        </is>
      </c>
    </row>
    <row r="75">
      <c r="A75" s="2" t="n">
        <v>74</v>
      </c>
      <c r="B75" s="2" t="inlineStr">
        <is>
          <t>lydicamycin derivative: TPU-0037C</t>
        </is>
      </c>
    </row>
    <row r="76">
      <c r="A76" s="2" t="n">
        <v>75</v>
      </c>
      <c r="B76" s="2" t="inlineStr">
        <is>
          <t>MANNOSE</t>
        </is>
      </c>
    </row>
    <row r="77">
      <c r="A77" s="2" t="n">
        <v>76</v>
      </c>
      <c r="B77" s="2" t="inlineStr">
        <is>
          <t>Massbank:AU252106 4-Hydroxy-1-(2-hydroxyethyl)-2,2,6,6-tetramethylpiperidine|1-Piperidineethanol, 4-hydroxy-2,2,6,6-tetramethyl-|1-(2-hydroxyethyl)-2,2,6,6-tetramethylpiperidin-4-ol</t>
        </is>
      </c>
    </row>
    <row r="78">
      <c r="A78" s="2" t="n">
        <v>77</v>
      </c>
      <c r="B78" s="2" t="inlineStr">
        <is>
          <t>Massbank:EA021311 DEET|N,N-Diethyl-m-toluamide|N,N-diethyl-3-methyl-benzamide</t>
        </is>
      </c>
    </row>
    <row r="79">
      <c r="A79" s="2" t="n">
        <v>78</v>
      </c>
      <c r="B79" s="2" t="inlineStr">
        <is>
          <t>Massbank:EQ309203 Diphenylamine|N-phenylaniline</t>
        </is>
      </c>
    </row>
    <row r="80">
      <c r="A80" s="2" t="n">
        <v>79</v>
      </c>
      <c r="B80" s="2" t="inlineStr">
        <is>
          <t>Massbank:EQ309204 Diphenylamine|N-phenylaniline</t>
        </is>
      </c>
    </row>
    <row r="81">
      <c r="A81" s="2" t="n">
        <v>80</v>
      </c>
      <c r="B81" s="2" t="inlineStr">
        <is>
          <t>Massbank:LU129801 4-Chlorophenylurea|(4-chlorophenyl)urea</t>
        </is>
      </c>
    </row>
    <row r="82">
      <c r="A82" s="2" t="n">
        <v>81</v>
      </c>
      <c r="B82" s="2" t="inlineStr">
        <is>
          <t>Massbank:PB000393 Leucine|2-amino-4-methylpentanoic acid</t>
        </is>
      </c>
    </row>
    <row r="83">
      <c r="A83" s="2" t="n">
        <v>82</v>
      </c>
      <c r="B83" s="2" t="inlineStr">
        <is>
          <t>Massbank:PB000397 Isoleucine|2-amino-3-methylpentanoic acid</t>
        </is>
      </c>
    </row>
    <row r="84">
      <c r="A84" s="2" t="n">
        <v>83</v>
      </c>
      <c r="B84" s="2" t="inlineStr">
        <is>
          <t>Massbank:PB000408 Phenylalanine|2-amino-3-phenylpropanoic acid</t>
        </is>
      </c>
    </row>
    <row r="85">
      <c r="A85" s="2" t="n">
        <v>84</v>
      </c>
      <c r="B85" s="2" t="inlineStr">
        <is>
          <t>Massbank:PB000458 Asparagine|2,4-diamino-4-oxobutanoic acid</t>
        </is>
      </c>
    </row>
    <row r="86">
      <c r="A86" s="2" t="n">
        <v>85</v>
      </c>
      <c r="B86" s="2" t="inlineStr">
        <is>
          <t>Massbank:PB000619 Syringaldehyde|4-hydroxy-3,5-dimethoxybenzaldehyde</t>
        </is>
      </c>
    </row>
    <row r="87">
      <c r="A87" s="2" t="n">
        <v>86</v>
      </c>
      <c r="B87" s="2" t="inlineStr">
        <is>
          <t>Massbank:RP030402 ?-linolenic acid|linolenic acid|(9Z,12Z,15Z)-octadeca-9,12,15-trienoic acid</t>
        </is>
      </c>
    </row>
    <row r="88">
      <c r="A88" s="2" t="n">
        <v>87</v>
      </c>
      <c r="B88" s="2" t="inlineStr">
        <is>
          <t>Massbank:RP030403 ?-linolenic acid|linolenic acid|(9Z,12Z,15Z)-octadeca-9,12,15-trienoic acid</t>
        </is>
      </c>
    </row>
    <row r="89">
      <c r="A89" s="2" t="n">
        <v>88</v>
      </c>
      <c r="B89" s="2" t="inlineStr">
        <is>
          <t>Massbank:UA005501 L-Phenylalanine|(2S)-2-Azaniumyl-3-phenylpropanoate</t>
        </is>
      </c>
    </row>
    <row r="90">
      <c r="A90" s="2" t="n">
        <v>89</v>
      </c>
      <c r="B90" s="2" t="inlineStr">
        <is>
          <t>Massbank:UA005601 L-Tyrosine|(2S)-2-Azaniumyl-3-(4-hydroxyphenyl)propanoate</t>
        </is>
      </c>
    </row>
    <row r="91">
      <c r="A91" s="2" t="n">
        <v>90</v>
      </c>
      <c r="B91" s="2" t="inlineStr">
        <is>
          <t>METHYLTHIOADENOSINE - 20.0 eV</t>
        </is>
      </c>
    </row>
    <row r="92">
      <c r="A92" s="2" t="n">
        <v>91</v>
      </c>
      <c r="B92" s="2" t="inlineStr">
        <is>
          <t>MoNA:823334 Nitroso-Pyrrolidine</t>
        </is>
      </c>
    </row>
    <row r="93">
      <c r="A93" s="2" t="n">
        <v>92</v>
      </c>
      <c r="B93" s="2" t="inlineStr">
        <is>
          <t>N-Acetyl-L-leucine - 40.0 eV</t>
        </is>
      </c>
    </row>
    <row r="94">
      <c r="A94" s="2" t="n">
        <v>93</v>
      </c>
      <c r="B94" s="2" t="inlineStr">
        <is>
          <t>NL3680000 - 40.0 eV</t>
        </is>
      </c>
    </row>
    <row r="95">
      <c r="A95" s="2" t="n">
        <v>94</v>
      </c>
      <c r="B95" s="2" t="inlineStr">
        <is>
          <t>Norharman</t>
        </is>
      </c>
    </row>
    <row r="96">
      <c r="A96" s="2" t="n">
        <v>95</v>
      </c>
      <c r="B96" s="2" t="inlineStr">
        <is>
          <t>NORLEUCINE - 20.0 eV</t>
        </is>
      </c>
    </row>
    <row r="97">
      <c r="A97" s="2" t="n">
        <v>96</v>
      </c>
      <c r="B97" s="2" t="inlineStr">
        <is>
          <t>NORLEUCINE - 30.0 eV</t>
        </is>
      </c>
    </row>
    <row r="98">
      <c r="A98" s="2" t="n">
        <v>97</v>
      </c>
      <c r="B98" s="2" t="inlineStr">
        <is>
          <t>NORLEUCINE - 40.0 eV</t>
        </is>
      </c>
    </row>
    <row r="99">
      <c r="A99" s="2" t="n">
        <v>98</v>
      </c>
      <c r="B99" s="2" t="inlineStr">
        <is>
          <t>NORLEUCINE - 50.0 eV</t>
        </is>
      </c>
    </row>
    <row r="100">
      <c r="A100" s="2" t="n">
        <v>99</v>
      </c>
      <c r="B100" s="2" t="inlineStr">
        <is>
          <t>NORLEUCINE - 60.0 eV</t>
        </is>
      </c>
    </row>
    <row r="101">
      <c r="A101" s="2" t="n">
        <v>100</v>
      </c>
      <c r="B101" s="2" t="inlineStr">
        <is>
          <t>NORLEUCINE - 70.0 eV</t>
        </is>
      </c>
    </row>
    <row r="102">
      <c r="A102" s="2" t="n">
        <v>101</v>
      </c>
      <c r="B102" s="2" t="inlineStr">
        <is>
          <t>PARAXANTHINE - 20.0 eV</t>
        </is>
      </c>
    </row>
    <row r="103">
      <c r="A103" s="2" t="n">
        <v>102</v>
      </c>
      <c r="B103" s="2" t="inlineStr">
        <is>
          <t>PARAXANTHINE - 30.0 eV</t>
        </is>
      </c>
    </row>
    <row r="104">
      <c r="A104" s="2" t="n">
        <v>103</v>
      </c>
      <c r="B104" s="2" t="inlineStr">
        <is>
          <t>PC(18:0/20:3); [M+H]+ C46H87N1O8P1</t>
        </is>
      </c>
    </row>
    <row r="105">
      <c r="A105" s="2" t="n">
        <v>104</v>
      </c>
      <c r="B105" s="2" t="inlineStr">
        <is>
          <t>PE(20:3/22:6); [M-H]- C47H75N1O8P1</t>
        </is>
      </c>
    </row>
    <row r="106">
      <c r="A106" s="2" t="n">
        <v>105</v>
      </c>
      <c r="B106" s="2" t="inlineStr">
        <is>
          <t>PE(P-16:0/22:4); [M-H]- C43H77N1O7P1</t>
        </is>
      </c>
    </row>
    <row r="107">
      <c r="A107" s="2" t="n">
        <v>106</v>
      </c>
      <c r="B107" s="2" t="inlineStr">
        <is>
          <t>PI(17:0/18:3); [M-H]- C44H78O13P1</t>
        </is>
      </c>
    </row>
    <row r="108">
      <c r="A108" s="2" t="n">
        <v>107</v>
      </c>
      <c r="B108" s="2" t="inlineStr">
        <is>
          <t>PSICOSE</t>
        </is>
      </c>
    </row>
    <row r="109">
      <c r="A109" s="2" t="n">
        <v>108</v>
      </c>
      <c r="B109" s="2" t="inlineStr">
        <is>
          <t>Pyropheophytin a</t>
        </is>
      </c>
    </row>
    <row r="110">
      <c r="A110" s="2" t="n">
        <v>109</v>
      </c>
      <c r="B110" s="2" t="inlineStr">
        <is>
          <t>SINAPIC ACID CollisionEnergy:205060</t>
        </is>
      </c>
    </row>
    <row r="111">
      <c r="A111" s="2" t="n">
        <v>110</v>
      </c>
      <c r="B111" s="2" t="inlineStr">
        <is>
          <t>SORBOSE</t>
        </is>
      </c>
    </row>
    <row r="112">
      <c r="A112" s="2" t="n">
        <v>111</v>
      </c>
      <c r="B112" s="2" t="inlineStr">
        <is>
          <t xml:space="preserve"> 1,3-Dicyclohexylurea from NIST14</t>
        </is>
      </c>
    </row>
    <row r="113">
      <c r="A113" s="2" t="n">
        <v>112</v>
      </c>
      <c r="B113" s="2" t="inlineStr">
        <is>
          <t>1-Oleoyl-2-palmitoyl-sn-glycero-3-phosphocholine from NIST14</t>
        </is>
      </c>
    </row>
    <row r="114">
      <c r="A114" s="2" t="n">
        <v>113</v>
      </c>
      <c r="B114" s="2" t="inlineStr">
        <is>
          <t>1-Palmitoyl-2-linoleoyl-sn-glycero-3-phosphocholine from NIST14</t>
        </is>
      </c>
    </row>
    <row r="115">
      <c r="A115" s="2" t="n">
        <v>114</v>
      </c>
      <c r="B115" s="2" t="inlineStr">
        <is>
          <t>2-Butanone, 4-(2,6,6-trimethyl-2-cyclohexen-1-yl)- from NIST14</t>
        </is>
      </c>
    </row>
    <row r="116">
      <c r="A116" s="2" t="n">
        <v>115</v>
      </c>
      <c r="B116" s="2" t="inlineStr">
        <is>
          <t>3,4,5-Trimethoxycinnamic acid from NIST14</t>
        </is>
      </c>
    </row>
    <row r="117">
      <c r="A117" s="2" t="n">
        <v>116</v>
      </c>
      <c r="B117" s="2" t="inlineStr">
        <is>
          <t>3-Hydroxyoctadecanoic Acid from NIST14</t>
        </is>
      </c>
    </row>
    <row r="118">
      <c r="A118" s="2" t="n">
        <v>117</v>
      </c>
      <c r="B118" s="2" t="inlineStr">
        <is>
          <t>9(10)-EpOME from NIST14</t>
        </is>
      </c>
    </row>
    <row r="119">
      <c r="A119" s="2" t="n">
        <v>118</v>
      </c>
      <c r="B119" s="2" t="inlineStr">
        <is>
          <t>9-Octadecenamide, (Z)- from NIST14</t>
        </is>
      </c>
    </row>
    <row r="120">
      <c r="A120" s="2" t="n">
        <v>119</v>
      </c>
      <c r="B120" s="2" t="inlineStr">
        <is>
          <t>9(S)-HpOTrE from NIST14</t>
        </is>
      </c>
    </row>
    <row r="121">
      <c r="A121" s="2" t="n">
        <v>120</v>
      </c>
      <c r="B121" s="2" t="inlineStr">
        <is>
          <t>9Z,11E,13E-Octadecatrienoic acid methyl ester from NIST14</t>
        </is>
      </c>
    </row>
    <row r="122">
      <c r="A122" s="2" t="n">
        <v>121</v>
      </c>
      <c r="B122" s="2" t="inlineStr">
        <is>
          <t>Abrine from NIST14</t>
        </is>
      </c>
    </row>
    <row r="123">
      <c r="A123" s="2" t="n">
        <v>122</v>
      </c>
      <c r="B123" s="2" t="inlineStr">
        <is>
          <t>Adenosine, 5'-S-methyl-5'-thio- from NIST14</t>
        </is>
      </c>
    </row>
    <row r="124">
      <c r="A124" s="2" t="n">
        <v>123</v>
      </c>
      <c r="B124" s="2" t="inlineStr">
        <is>
          <t>Choline cation from NIST14</t>
        </is>
      </c>
    </row>
    <row r="125">
      <c r="A125" s="2" t="n">
        <v>124</v>
      </c>
      <c r="B125" s="2" t="inlineStr">
        <is>
          <t>Di-.gamma.-linolenin (6c,9c,12c) from NIST14</t>
        </is>
      </c>
    </row>
    <row r="126">
      <c r="A126" s="2" t="n">
        <v>125</v>
      </c>
      <c r="B126" s="2" t="inlineStr">
        <is>
          <t>Diphenylamine from NIST14</t>
        </is>
      </c>
    </row>
    <row r="127">
      <c r="A127" s="2" t="n">
        <v>126</v>
      </c>
      <c r="B127" s="2" t="inlineStr">
        <is>
          <t>Gly-Leu from NIST14</t>
        </is>
      </c>
    </row>
    <row r="128">
      <c r="A128" s="2" t="n">
        <v>127</v>
      </c>
      <c r="B128" s="2" t="inlineStr">
        <is>
          <t>Gly-Phe from NIST14</t>
        </is>
      </c>
    </row>
    <row r="129">
      <c r="A129" s="2" t="n">
        <v>128</v>
      </c>
      <c r="B129" s="2" t="inlineStr">
        <is>
          <t>Harmane from NIST14</t>
        </is>
      </c>
    </row>
    <row r="130">
      <c r="A130" s="2" t="n">
        <v>129</v>
      </c>
      <c r="B130" s="2" t="inlineStr">
        <is>
          <t>Ile-Ile-Lys from NIST14</t>
        </is>
      </c>
    </row>
    <row r="131">
      <c r="A131" s="2" t="n">
        <v>130</v>
      </c>
      <c r="B131" s="2" t="inlineStr">
        <is>
          <t>Ile-Pro from NIST14</t>
        </is>
      </c>
    </row>
    <row r="132">
      <c r="A132" s="2" t="n">
        <v>131</v>
      </c>
      <c r="B132" s="2" t="inlineStr">
        <is>
          <t>Leu-Pro from NIST14</t>
        </is>
      </c>
    </row>
    <row r="133">
      <c r="A133" s="2" t="n">
        <v>132</v>
      </c>
      <c r="B133" s="2" t="inlineStr">
        <is>
          <t>Lyso-PC(16:0) from NIST14</t>
        </is>
      </c>
    </row>
    <row r="134">
      <c r="A134" s="2" t="n">
        <v>133</v>
      </c>
      <c r="B134" s="2" t="inlineStr">
        <is>
          <t>Met-Phe from NIST14</t>
        </is>
      </c>
    </row>
    <row r="135">
      <c r="A135" s="2" t="n">
        <v>134</v>
      </c>
      <c r="B135" s="2" t="inlineStr">
        <is>
          <t>Phe-Pro from NIST14</t>
        </is>
      </c>
    </row>
    <row r="136">
      <c r="A136" s="2" t="n">
        <v>135</v>
      </c>
      <c r="B136" s="2" t="inlineStr">
        <is>
          <t>Pro-Phe from NIST14</t>
        </is>
      </c>
    </row>
    <row r="137">
      <c r="A137" s="2" t="n">
        <v>136</v>
      </c>
      <c r="B137" s="2" t="inlineStr">
        <is>
          <t>PyroGlu-Pro from NIST14</t>
        </is>
      </c>
    </row>
    <row r="138">
      <c r="A138" s="2" t="n">
        <v>137</v>
      </c>
      <c r="B138" s="2" t="inlineStr">
        <is>
          <t>PyroGlu-Val from NIST14</t>
        </is>
      </c>
    </row>
    <row r="139">
      <c r="A139" s="2" t="n">
        <v>138</v>
      </c>
      <c r="B139" s="2" t="inlineStr">
        <is>
          <t>Syringaldehyde from NIST14</t>
        </is>
      </c>
    </row>
    <row r="140">
      <c r="A140" s="2" t="n">
        <v>139</v>
      </c>
      <c r="B140" s="2" t="inlineStr">
        <is>
          <t>Syringic acid from NIST14</t>
        </is>
      </c>
    </row>
    <row r="141">
      <c r="A141" s="2" t="n">
        <v>140</v>
      </c>
      <c r="B141" s="2" t="inlineStr">
        <is>
          <t>Theobromine from NIST14</t>
        </is>
      </c>
    </row>
    <row r="142">
      <c r="A142" s="2" t="n">
        <v>141</v>
      </c>
      <c r="B142" s="2" t="inlineStr">
        <is>
          <t>trans-Ferulic acid from NIST14</t>
        </is>
      </c>
    </row>
    <row r="143">
      <c r="A143" s="2" t="n">
        <v>142</v>
      </c>
      <c r="B143" s="2" t="inlineStr">
        <is>
          <t>Tyr-Val from NIST14</t>
        </is>
      </c>
    </row>
    <row r="144">
      <c r="A144" s="2" t="n">
        <v>143</v>
      </c>
      <c r="B144" s="2" t="inlineStr">
        <is>
          <t>THEOBROMINE</t>
        </is>
      </c>
    </row>
    <row r="145">
      <c r="A145" s="2" t="n">
        <v>144</v>
      </c>
      <c r="B145" s="2" t="inlineStr">
        <is>
          <t>THEOBROMINE - 20.0 eV</t>
        </is>
      </c>
    </row>
    <row r="146">
      <c r="A146" s="2" t="n">
        <v>145</v>
      </c>
      <c r="B146" s="2" t="inlineStr">
        <is>
          <t>THEOBROMINE - 30.0 eV</t>
        </is>
      </c>
    </row>
    <row r="147">
      <c r="A147" s="2" t="n">
        <v>146</v>
      </c>
      <c r="B147" s="2" t="inlineStr">
        <is>
          <t>THEOPHYLLINE - 20.0 eV</t>
        </is>
      </c>
    </row>
    <row r="148">
      <c r="A148" s="2" t="n">
        <v>147</v>
      </c>
      <c r="B148" s="2" t="inlineStr">
        <is>
          <t>THYMINE</t>
        </is>
      </c>
    </row>
    <row r="149">
      <c r="A149" s="2" t="n">
        <v>148</v>
      </c>
      <c r="B149" s="2" t="inlineStr">
        <is>
          <t>THYMINE - 30.0 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5" customWidth="1" min="2" max="2"/>
    <col width="42" customWidth="1" min="3" max="3"/>
    <col width="12" customWidth="1" min="4" max="4"/>
    <col width="12" customWidth="1" min="5" max="5"/>
    <col width="18" customWidth="1" min="6" max="6"/>
    <col width="42" customWidth="1" min="7" max="7"/>
    <col width="12" customWidth="1" min="8" max="8"/>
    <col width="11" customWidth="1" min="9" max="9"/>
    <col width="11" customWidth="1" min="10" max="10"/>
    <col width="30" customWidth="1" min="11" max="11"/>
  </cols>
  <sheetData>
    <row r="1" ht="32" customHeight="1">
      <c r="A1" s="21" t="inlineStr">
        <is>
          <t>Nº original</t>
        </is>
      </c>
      <c r="B1" s="21" t="inlineStr">
        <is>
          <t>Nome original</t>
        </is>
      </c>
      <c r="C1" s="21" t="inlineStr">
        <is>
          <t>Composto padronizado</t>
        </is>
      </c>
      <c r="D1" s="21" t="inlineStr">
        <is>
          <t>Biblioteca</t>
        </is>
      </c>
      <c r="E1" s="21" t="inlineStr">
        <is>
          <t>ID no banco</t>
        </is>
      </c>
      <c r="F1" s="21" t="inlineStr">
        <is>
          <t>Energia de colisão</t>
        </is>
      </c>
      <c r="G1" s="21" t="inlineStr">
        <is>
          <t>Problemas de qualidade encontrados</t>
        </is>
      </c>
      <c r="H1" s="21" t="inlineStr">
        <is>
          <t>Nº de linhas do mesmo composto</t>
        </is>
      </c>
      <c r="I1" s="21" t="inlineStr">
        <is>
          <t>Duplicata?</t>
        </is>
      </c>
      <c r="J1" s="21" t="inlineStr">
        <is>
          <t>Categoria (A–F)</t>
        </is>
      </c>
      <c r="K1" s="21" t="inlineStr">
        <is>
          <t>Ação recomendada</t>
        </is>
      </c>
    </row>
    <row r="2">
      <c r="A2" s="37" t="n">
        <v>1</v>
      </c>
      <c r="B2" s="5" t="inlineStr">
        <is>
          <t>(1)-1,2,3,4-Tetrahydroisoquinoline-3-carboxylic acid CollisionEnergy:205060</t>
        </is>
      </c>
      <c r="C2" s="5" t="inlineStr">
        <is>
          <t>1,2,3,4-Tetrahydroisoquinoline-3-carboxylic acid (Tic)</t>
        </is>
      </c>
      <c r="D2" s="37" t="inlineStr">
        <is>
          <t>Não informada</t>
        </is>
      </c>
      <c r="E2" s="37" t="inlineStr"/>
      <c r="F2" s="37" t="inlineStr">
        <is>
          <t>20/50/60 (escalonada)</t>
        </is>
      </c>
      <c r="G2" s="5" t="inlineStr">
        <is>
          <t>energia de colisão embutida no nome</t>
        </is>
      </c>
      <c r="H2" s="2">
        <f>COUNTIF($C$2:$C$149,C2)</f>
        <v/>
      </c>
      <c r="I2" s="2">
        <f>IF(COUNTIF($C$2:C2,C2)&gt;1,"Sim","Não")</f>
        <v/>
      </c>
      <c r="J2" s="2">
        <f>INDEX('3_Curadoria'!$F$2:$F$109,MATCH(C2,'3_Curadoria'!$B$2:$B$109,0))</f>
        <v/>
      </c>
      <c r="K2" s="2">
        <f>INDEX('3_Curadoria'!$H$2:$H$109,MATCH(C2,'3_Curadoria'!$B$2:$B$109,0))</f>
        <v/>
      </c>
    </row>
    <row r="3">
      <c r="A3" s="37" t="n">
        <v>2</v>
      </c>
      <c r="B3" s="5" t="inlineStr">
        <is>
          <t>1-(2H-benzo[3,4-d]1,3-dioxolen-5-yl)-5-[(4-piperidylphenyl)methylene]-1,3-dihy dropyrimidine-2,4,6-trione CollisionEnergy:102040</t>
        </is>
      </c>
      <c r="C3" s="5" t="inlineStr">
        <is>
          <t>Pyrimidinetrione (barbiturate) derivative</t>
        </is>
      </c>
      <c r="D3" s="37" t="inlineStr">
        <is>
          <t>Não informada</t>
        </is>
      </c>
      <c r="E3" s="37" t="inlineStr"/>
      <c r="F3" s="37" t="inlineStr">
        <is>
          <t>10/20/40 (escalonada)</t>
        </is>
      </c>
      <c r="G3" s="5" t="inlineStr">
        <is>
          <t>energia de colisão embutida no nome; espaço indevido dentro do nome</t>
        </is>
      </c>
      <c r="H3" s="2">
        <f>COUNTIF($C$2:$C$149,C3)</f>
        <v/>
      </c>
      <c r="I3" s="2">
        <f>IF(COUNTIF($C$2:C3,C3)&gt;1,"Sim","Não")</f>
        <v/>
      </c>
      <c r="J3" s="2">
        <f>INDEX('3_Curadoria'!$F$2:$F$109,MATCH(C3,'3_Curadoria'!$B$2:$B$109,0))</f>
        <v/>
      </c>
      <c r="K3" s="2">
        <f>INDEX('3_Curadoria'!$H$2:$H$109,MATCH(C3,'3_Curadoria'!$B$2:$B$109,0))</f>
        <v/>
      </c>
    </row>
    <row r="4">
      <c r="A4" s="37" t="n">
        <v>3</v>
      </c>
      <c r="B4" s="5" t="inlineStr">
        <is>
          <t>1-(2-Hydroxyethyl)-2,2,6,6-tetramethyl-4-piperidinol</t>
        </is>
      </c>
      <c r="C4" s="5" t="inlineStr">
        <is>
          <t>1-(2-Hydroxyethyl)-2,2,6,6-tetramethyl-4-piperidinol</t>
        </is>
      </c>
      <c r="D4" s="37" t="inlineStr">
        <is>
          <t>Não informada</t>
        </is>
      </c>
      <c r="E4" s="37" t="inlineStr"/>
      <c r="F4" s="37" t="inlineStr">
        <is>
          <t>Não informada</t>
        </is>
      </c>
      <c r="G4" s="5" t="inlineStr">
        <is>
          <t>—</t>
        </is>
      </c>
      <c r="H4" s="2">
        <f>COUNTIF($C$2:$C$149,C4)</f>
        <v/>
      </c>
      <c r="I4" s="2">
        <f>IF(COUNTIF($C$2:C4,C4)&gt;1,"Sim","Não")</f>
        <v/>
      </c>
      <c r="J4" s="2">
        <f>INDEX('3_Curadoria'!$F$2:$F$109,MATCH(C4,'3_Curadoria'!$B$2:$B$109,0))</f>
        <v/>
      </c>
      <c r="K4" s="2">
        <f>INDEX('3_Curadoria'!$H$2:$H$109,MATCH(C4,'3_Curadoria'!$B$2:$B$109,0))</f>
        <v/>
      </c>
    </row>
    <row r="5">
      <c r="A5" s="37" t="n">
        <v>4</v>
      </c>
      <c r="B5" s="5" t="inlineStr">
        <is>
          <t>1,7-bis(4-hydroxyphenyl)-5-[(2R,3R,4S,5S,6R)-3,4,5-trihydroxy-6-(hydroxymethyl)oxan-2-yl]oxyheptan-3-one</t>
        </is>
      </c>
      <c r="C5" s="5" t="inlineStr">
        <is>
          <t>Diarylheptanoid glucoside (1,7-bis(4-hydroxyphenyl)heptan-3-one 5-O-glucoside)</t>
        </is>
      </c>
      <c r="D5" s="37" t="inlineStr">
        <is>
          <t>Não informada</t>
        </is>
      </c>
      <c r="E5" s="37" t="inlineStr"/>
      <c r="F5" s="37" t="inlineStr">
        <is>
          <t>Não informada</t>
        </is>
      </c>
      <c r="G5" s="5" t="inlineStr">
        <is>
          <t>—</t>
        </is>
      </c>
      <c r="H5" s="2">
        <f>COUNTIF($C$2:$C$149,C5)</f>
        <v/>
      </c>
      <c r="I5" s="2">
        <f>IF(COUNTIF($C$2:C5,C5)&gt;1,"Sim","Não")</f>
        <v/>
      </c>
      <c r="J5" s="2">
        <f>INDEX('3_Curadoria'!$F$2:$F$109,MATCH(C5,'3_Curadoria'!$B$2:$B$109,0))</f>
        <v/>
      </c>
      <c r="K5" s="2">
        <f>INDEX('3_Curadoria'!$H$2:$H$109,MATCH(C5,'3_Curadoria'!$B$2:$B$109,0))</f>
        <v/>
      </c>
    </row>
    <row r="6">
      <c r="A6" s="37" t="n">
        <v>5</v>
      </c>
      <c r="B6" s="5" t="inlineStr">
        <is>
          <t>(1R,3r,8S,9r)-1,8-dimethyl-3,6-diazatricyclo[4.3.1.1(3,8)]undecan-9-ol</t>
        </is>
      </c>
      <c r="C6" s="5" t="inlineStr">
        <is>
          <t>1,8-Dimethyl-3,6-diazatricyclo[4.3.1.1(3,8)]undecan-9-ol</t>
        </is>
      </c>
      <c r="D6" s="37" t="inlineStr">
        <is>
          <t>Não informada</t>
        </is>
      </c>
      <c r="E6" s="37" t="inlineStr"/>
      <c r="F6" s="37" t="inlineStr">
        <is>
          <t>Não informada</t>
        </is>
      </c>
      <c r="G6" s="5" t="inlineStr">
        <is>
          <t>—</t>
        </is>
      </c>
      <c r="H6" s="2">
        <f>COUNTIF($C$2:$C$149,C6)</f>
        <v/>
      </c>
      <c r="I6" s="2">
        <f>IF(COUNTIF($C$2:C6,C6)&gt;1,"Sim","Não")</f>
        <v/>
      </c>
      <c r="J6" s="2">
        <f>INDEX('3_Curadoria'!$F$2:$F$109,MATCH(C6,'3_Curadoria'!$B$2:$B$109,0))</f>
        <v/>
      </c>
      <c r="K6" s="2">
        <f>INDEX('3_Curadoria'!$H$2:$H$109,MATCH(C6,'3_Curadoria'!$B$2:$B$109,0))</f>
        <v/>
      </c>
    </row>
    <row r="7">
      <c r="A7" s="37" t="n">
        <v>6</v>
      </c>
      <c r="B7" s="5" t="inlineStr">
        <is>
          <t>[(1S,9S,13R,14R)-14-hydroxy-14-(hydroxymethyl)-5,5-dimethyltetracyclo[11.2.1.0¹,¹?.0?,?]hexadecan-9-yl]methyl (2E)-3-(3,4-dihydroxyphenyl)prop-2-enoate</t>
        </is>
      </c>
      <c r="C7" s="5" t="inlineStr">
        <is>
          <t>Kaurane-type diterpenoid caffeate ester</t>
        </is>
      </c>
      <c r="D7" s="37" t="inlineStr">
        <is>
          <t>Não informada</t>
        </is>
      </c>
      <c r="E7" s="37" t="inlineStr"/>
      <c r="F7" s="37" t="inlineStr">
        <is>
          <t>Não informada</t>
        </is>
      </c>
      <c r="G7" s="5" t="inlineStr">
        <is>
          <t>caractere corrompido (encoding)</t>
        </is>
      </c>
      <c r="H7" s="2">
        <f>COUNTIF($C$2:$C$149,C7)</f>
        <v/>
      </c>
      <c r="I7" s="2">
        <f>IF(COUNTIF($C$2:C7,C7)&gt;1,"Sim","Não")</f>
        <v/>
      </c>
      <c r="J7" s="2">
        <f>INDEX('3_Curadoria'!$F$2:$F$109,MATCH(C7,'3_Curadoria'!$B$2:$B$109,0))</f>
        <v/>
      </c>
      <c r="K7" s="2">
        <f>INDEX('3_Curadoria'!$H$2:$H$109,MATCH(C7,'3_Curadoria'!$B$2:$B$109,0))</f>
        <v/>
      </c>
    </row>
    <row r="8">
      <c r="A8" s="37" t="n">
        <v>7</v>
      </c>
      <c r="B8" s="5" t="inlineStr">
        <is>
          <t>2,2'-Dihydroxychalcone CollisionEnergy:102040</t>
        </is>
      </c>
      <c r="C8" s="5" t="inlineStr">
        <is>
          <t>2,2'-Dihydroxychalcone</t>
        </is>
      </c>
      <c r="D8" s="37" t="inlineStr">
        <is>
          <t>Não informada</t>
        </is>
      </c>
      <c r="E8" s="37" t="inlineStr"/>
      <c r="F8" s="37" t="inlineStr">
        <is>
          <t>10/20/40 (escalonada)</t>
        </is>
      </c>
      <c r="G8" s="5" t="inlineStr">
        <is>
          <t>energia de colisão embutida no nome</t>
        </is>
      </c>
      <c r="H8" s="2">
        <f>COUNTIF($C$2:$C$149,C8)</f>
        <v/>
      </c>
      <c r="I8" s="2">
        <f>IF(COUNTIF($C$2:C8,C8)&gt;1,"Sim","Não")</f>
        <v/>
      </c>
      <c r="J8" s="2">
        <f>INDEX('3_Curadoria'!$F$2:$F$109,MATCH(C8,'3_Curadoria'!$B$2:$B$109,0))</f>
        <v/>
      </c>
      <c r="K8" s="2">
        <f>INDEX('3_Curadoria'!$H$2:$H$109,MATCH(C8,'3_Curadoria'!$B$2:$B$109,0))</f>
        <v/>
      </c>
    </row>
    <row r="9">
      <c r="A9" s="37" t="n">
        <v>8</v>
      </c>
      <c r="B9" s="5" t="inlineStr">
        <is>
          <t>2',5-Dimethoxyflavone CollisionEnergy:102040</t>
        </is>
      </c>
      <c r="C9" s="5" t="inlineStr">
        <is>
          <t>2',5-Dimethoxyflavone</t>
        </is>
      </c>
      <c r="D9" s="37" t="inlineStr">
        <is>
          <t>Não informada</t>
        </is>
      </c>
      <c r="E9" s="37" t="inlineStr"/>
      <c r="F9" s="37" t="inlineStr">
        <is>
          <t>10/20/40 (escalonada)</t>
        </is>
      </c>
      <c r="G9" s="5" t="inlineStr">
        <is>
          <t>energia de colisão embutida no nome</t>
        </is>
      </c>
      <c r="H9" s="2">
        <f>COUNTIF($C$2:$C$149,C9)</f>
        <v/>
      </c>
      <c r="I9" s="2">
        <f>IF(COUNTIF($C$2:C9,C9)&gt;1,"Sim","Não")</f>
        <v/>
      </c>
      <c r="J9" s="2">
        <f>INDEX('3_Curadoria'!$F$2:$F$109,MATCH(C9,'3_Curadoria'!$B$2:$B$109,0))</f>
        <v/>
      </c>
      <c r="K9" s="2">
        <f>INDEX('3_Curadoria'!$H$2:$H$109,MATCH(C9,'3_Curadoria'!$B$2:$B$109,0))</f>
        <v/>
      </c>
    </row>
    <row r="10">
      <c r="A10" s="37" t="n">
        <v>9</v>
      </c>
      <c r="B10" s="5" t="inlineStr">
        <is>
          <t>2-Hydroxy-4,6-dimethoxyacetophenone</t>
        </is>
      </c>
      <c r="C10" s="5" t="inlineStr">
        <is>
          <t>2-Hydroxy-4,6-dimethoxyacetophenone (xanthoxylin)</t>
        </is>
      </c>
      <c r="D10" s="37" t="inlineStr">
        <is>
          <t>Não informada</t>
        </is>
      </c>
      <c r="E10" s="37" t="inlineStr"/>
      <c r="F10" s="37" t="inlineStr">
        <is>
          <t>Não informada</t>
        </is>
      </c>
      <c r="G10" s="5" t="inlineStr">
        <is>
          <t>—</t>
        </is>
      </c>
      <c r="H10" s="2">
        <f>COUNTIF($C$2:$C$149,C10)</f>
        <v/>
      </c>
      <c r="I10" s="2">
        <f>IF(COUNTIF($C$2:C10,C10)&gt;1,"Sim","Não")</f>
        <v/>
      </c>
      <c r="J10" s="2">
        <f>INDEX('3_Curadoria'!$F$2:$F$109,MATCH(C10,'3_Curadoria'!$B$2:$B$109,0))</f>
        <v/>
      </c>
      <c r="K10" s="2">
        <f>INDEX('3_Curadoria'!$H$2:$H$109,MATCH(C10,'3_Curadoria'!$B$2:$B$109,0))</f>
        <v/>
      </c>
    </row>
    <row r="11">
      <c r="A11" s="37" t="n">
        <v>10</v>
      </c>
      <c r="B11" s="5" t="inlineStr">
        <is>
          <t>3.10S-Hydroxypheophorbide a</t>
        </is>
      </c>
      <c r="C11" s="5" t="inlineStr">
        <is>
          <t>13²-Hydroxypheophorbide a</t>
        </is>
      </c>
      <c r="D11" s="37" t="inlineStr">
        <is>
          <t>Não informada</t>
        </is>
      </c>
      <c r="E11" s="37" t="inlineStr"/>
      <c r="F11" s="37" t="inlineStr">
        <is>
          <t>Não informada</t>
        </is>
      </c>
      <c r="G11" s="5" t="inlineStr">
        <is>
          <t>nomenclatura irregular</t>
        </is>
      </c>
      <c r="H11" s="2">
        <f>COUNTIF($C$2:$C$149,C11)</f>
        <v/>
      </c>
      <c r="I11" s="2">
        <f>IF(COUNTIF($C$2:C11,C11)&gt;1,"Sim","Não")</f>
        <v/>
      </c>
      <c r="J11" s="2">
        <f>INDEX('3_Curadoria'!$F$2:$F$109,MATCH(C11,'3_Curadoria'!$B$2:$B$109,0))</f>
        <v/>
      </c>
      <c r="K11" s="2">
        <f>INDEX('3_Curadoria'!$H$2:$H$109,MATCH(C11,'3_Curadoria'!$B$2:$B$109,0))</f>
        <v/>
      </c>
    </row>
    <row r="12">
      <c r="A12" s="37" t="n">
        <v>11</v>
      </c>
      <c r="B12" s="5" t="inlineStr">
        <is>
          <t>3,4,5-Trimethoxyphenol CollisionEnergy:102040</t>
        </is>
      </c>
      <c r="C12" s="5" t="inlineStr">
        <is>
          <t>3,4,5-Trimethoxyphenol</t>
        </is>
      </c>
      <c r="D12" s="37" t="inlineStr">
        <is>
          <t>Não informada</t>
        </is>
      </c>
      <c r="E12" s="37" t="inlineStr"/>
      <c r="F12" s="37" t="inlineStr">
        <is>
          <t>10/20/40 (escalonada)</t>
        </is>
      </c>
      <c r="G12" s="5" t="inlineStr">
        <is>
          <t>energia de colisão embutida no nome</t>
        </is>
      </c>
      <c r="H12" s="2">
        <f>COUNTIF($C$2:$C$149,C12)</f>
        <v/>
      </c>
      <c r="I12" s="2">
        <f>IF(COUNTIF($C$2:C12,C12)&gt;1,"Sim","Não")</f>
        <v/>
      </c>
      <c r="J12" s="2">
        <f>INDEX('3_Curadoria'!$F$2:$F$109,MATCH(C12,'3_Curadoria'!$B$2:$B$109,0))</f>
        <v/>
      </c>
      <c r="K12" s="2">
        <f>INDEX('3_Curadoria'!$H$2:$H$109,MATCH(C12,'3_Curadoria'!$B$2:$B$109,0))</f>
        <v/>
      </c>
    </row>
    <row r="13">
      <c r="A13" s="37" t="n">
        <v>12</v>
      </c>
      <c r="B13" s="5" t="inlineStr">
        <is>
          <t>3,4,5-Trimethoxyphenol CollisionEnergy:205060</t>
        </is>
      </c>
      <c r="C13" s="5" t="inlineStr">
        <is>
          <t>3,4,5-Trimethoxyphenol</t>
        </is>
      </c>
      <c r="D13" s="37" t="inlineStr">
        <is>
          <t>Não informada</t>
        </is>
      </c>
      <c r="E13" s="37" t="inlineStr"/>
      <c r="F13" s="37" t="inlineStr">
        <is>
          <t>20/50/60 (escalonada)</t>
        </is>
      </c>
      <c r="G13" s="5" t="inlineStr">
        <is>
          <t>energia de colisão embutida no nome</t>
        </is>
      </c>
      <c r="H13" s="2">
        <f>COUNTIF($C$2:$C$149,C13)</f>
        <v/>
      </c>
      <c r="I13" s="2">
        <f>IF(COUNTIF($C$2:C13,C13)&gt;1,"Sim","Não")</f>
        <v/>
      </c>
      <c r="J13" s="2">
        <f>INDEX('3_Curadoria'!$F$2:$F$109,MATCH(C13,'3_Curadoria'!$B$2:$B$109,0))</f>
        <v/>
      </c>
      <c r="K13" s="2">
        <f>INDEX('3_Curadoria'!$H$2:$H$109,MATCH(C13,'3_Curadoria'!$B$2:$B$109,0))</f>
        <v/>
      </c>
    </row>
    <row r="14">
      <c r="A14" s="37" t="n">
        <v>13</v>
      </c>
      <c r="B14" s="5" t="inlineStr">
        <is>
          <t>3-HYDROXY-2-METHYL-4-PYRONE</t>
        </is>
      </c>
      <c r="C14" s="5" t="inlineStr">
        <is>
          <t>Maltol</t>
        </is>
      </c>
      <c r="D14" s="37" t="inlineStr">
        <is>
          <t>Não informada</t>
        </is>
      </c>
      <c r="E14" s="37" t="inlineStr"/>
      <c r="F14" s="37" t="inlineStr">
        <is>
          <t>Não informada</t>
        </is>
      </c>
      <c r="G14" s="5" t="inlineStr">
        <is>
          <t>caixa alta inconsistente</t>
        </is>
      </c>
      <c r="H14" s="2">
        <f>COUNTIF($C$2:$C$149,C14)</f>
        <v/>
      </c>
      <c r="I14" s="2">
        <f>IF(COUNTIF($C$2:C14,C14)&gt;1,"Sim","Não")</f>
        <v/>
      </c>
      <c r="J14" s="2">
        <f>INDEX('3_Curadoria'!$F$2:$F$109,MATCH(C14,'3_Curadoria'!$B$2:$B$109,0))</f>
        <v/>
      </c>
      <c r="K14" s="2">
        <f>INDEX('3_Curadoria'!$H$2:$H$109,MATCH(C14,'3_Curadoria'!$B$2:$B$109,0))</f>
        <v/>
      </c>
    </row>
    <row r="15">
      <c r="A15" s="37" t="n">
        <v>14</v>
      </c>
      <c r="B15" s="5" t="inlineStr">
        <is>
          <t>3-hydroxybenzyl alcohol CollisionEnergy:102040</t>
        </is>
      </c>
      <c r="C15" s="5" t="inlineStr">
        <is>
          <t>3-Hydroxybenzyl alcohol</t>
        </is>
      </c>
      <c r="D15" s="37" t="inlineStr">
        <is>
          <t>Não informada</t>
        </is>
      </c>
      <c r="E15" s="37" t="inlineStr"/>
      <c r="F15" s="37" t="inlineStr">
        <is>
          <t>10/20/40 (escalonada)</t>
        </is>
      </c>
      <c r="G15" s="5" t="inlineStr">
        <is>
          <t>energia de colisão embutida no nome</t>
        </is>
      </c>
      <c r="H15" s="2">
        <f>COUNTIF($C$2:$C$149,C15)</f>
        <v/>
      </c>
      <c r="I15" s="2">
        <f>IF(COUNTIF($C$2:C15,C15)&gt;1,"Sim","Não")</f>
        <v/>
      </c>
      <c r="J15" s="2">
        <f>INDEX('3_Curadoria'!$F$2:$F$109,MATCH(C15,'3_Curadoria'!$B$2:$B$109,0))</f>
        <v/>
      </c>
      <c r="K15" s="2">
        <f>INDEX('3_Curadoria'!$H$2:$H$109,MATCH(C15,'3_Curadoria'!$B$2:$B$109,0))</f>
        <v/>
      </c>
    </row>
    <row r="16">
      <c r="A16" s="37" t="n">
        <v>15</v>
      </c>
      <c r="B16" s="5" t="inlineStr">
        <is>
          <t>3-hydroxybenzyl alcohol CollisionEnergy:205060</t>
        </is>
      </c>
      <c r="C16" s="5" t="inlineStr">
        <is>
          <t>3-Hydroxybenzyl alcohol</t>
        </is>
      </c>
      <c r="D16" s="37" t="inlineStr">
        <is>
          <t>Não informada</t>
        </is>
      </c>
      <c r="E16" s="37" t="inlineStr"/>
      <c r="F16" s="37" t="inlineStr">
        <is>
          <t>20/50/60 (escalonada)</t>
        </is>
      </c>
      <c r="G16" s="5" t="inlineStr">
        <is>
          <t>energia de colisão embutida no nome</t>
        </is>
      </c>
      <c r="H16" s="2">
        <f>COUNTIF($C$2:$C$149,C16)</f>
        <v/>
      </c>
      <c r="I16" s="2">
        <f>IF(COUNTIF($C$2:C16,C16)&gt;1,"Sim","Não")</f>
        <v/>
      </c>
      <c r="J16" s="2">
        <f>INDEX('3_Curadoria'!$F$2:$F$109,MATCH(C16,'3_Curadoria'!$B$2:$B$109,0))</f>
        <v/>
      </c>
      <c r="K16" s="2">
        <f>INDEX('3_Curadoria'!$H$2:$H$109,MATCH(C16,'3_Curadoria'!$B$2:$B$109,0))</f>
        <v/>
      </c>
    </row>
    <row r="17">
      <c r="A17" s="37" t="n">
        <v>16</v>
      </c>
      <c r="B17" s="5" t="inlineStr">
        <is>
          <t>3-Indoleacrylic acid CollisionEnergy:205060</t>
        </is>
      </c>
      <c r="C17" s="5" t="inlineStr">
        <is>
          <t>3-Indoleacrylic acid</t>
        </is>
      </c>
      <c r="D17" s="37" t="inlineStr">
        <is>
          <t>Não informada</t>
        </is>
      </c>
      <c r="E17" s="37" t="inlineStr"/>
      <c r="F17" s="37" t="inlineStr">
        <is>
          <t>20/50/60 (escalonada)</t>
        </is>
      </c>
      <c r="G17" s="5" t="inlineStr">
        <is>
          <t>energia de colisão embutida no nome</t>
        </is>
      </c>
      <c r="H17" s="2">
        <f>COUNTIF($C$2:$C$149,C17)</f>
        <v/>
      </c>
      <c r="I17" s="2">
        <f>IF(COUNTIF($C$2:C17,C17)&gt;1,"Sim","Não")</f>
        <v/>
      </c>
      <c r="J17" s="2">
        <f>INDEX('3_Curadoria'!$F$2:$F$109,MATCH(C17,'3_Curadoria'!$B$2:$B$109,0))</f>
        <v/>
      </c>
      <c r="K17" s="2">
        <f>INDEX('3_Curadoria'!$H$2:$H$109,MATCH(C17,'3_Curadoria'!$B$2:$B$109,0))</f>
        <v/>
      </c>
    </row>
    <row r="18">
      <c r="A18" s="37" t="n">
        <v>17</v>
      </c>
      <c r="B18" s="5" t="inlineStr">
        <is>
          <t>4-hydroxy-3-[(E)-7-hydroxy-3,7-dimethyl-4-oxooct-5-enyl]-5-(3-methylbut-2-enyl)benzoic acid</t>
        </is>
      </c>
      <c r="C18" s="5" t="inlineStr">
        <is>
          <t>Prenylated hydroxybenzoic acid (C22)</t>
        </is>
      </c>
      <c r="D18" s="37" t="inlineStr">
        <is>
          <t>Não informada</t>
        </is>
      </c>
      <c r="E18" s="37" t="inlineStr"/>
      <c r="F18" s="37" t="inlineStr">
        <is>
          <t>Não informada</t>
        </is>
      </c>
      <c r="G18" s="5" t="inlineStr">
        <is>
          <t>—</t>
        </is>
      </c>
      <c r="H18" s="2">
        <f>COUNTIF($C$2:$C$149,C18)</f>
        <v/>
      </c>
      <c r="I18" s="2">
        <f>IF(COUNTIF($C$2:C18,C18)&gt;1,"Sim","Não")</f>
        <v/>
      </c>
      <c r="J18" s="2">
        <f>INDEX('3_Curadoria'!$F$2:$F$109,MATCH(C18,'3_Curadoria'!$B$2:$B$109,0))</f>
        <v/>
      </c>
      <c r="K18" s="2">
        <f>INDEX('3_Curadoria'!$H$2:$H$109,MATCH(C18,'3_Curadoria'!$B$2:$B$109,0))</f>
        <v/>
      </c>
    </row>
    <row r="19">
      <c r="A19" s="37" t="n">
        <v>18</v>
      </c>
      <c r="B19" s="5" t="inlineStr">
        <is>
          <t>4'-HYDROXYCHALCONE</t>
        </is>
      </c>
      <c r="C19" s="5" t="inlineStr">
        <is>
          <t>4'-Hydroxychalcone</t>
        </is>
      </c>
      <c r="D19" s="37" t="inlineStr">
        <is>
          <t>Não informada</t>
        </is>
      </c>
      <c r="E19" s="37" t="inlineStr"/>
      <c r="F19" s="37" t="inlineStr">
        <is>
          <t>Não informada</t>
        </is>
      </c>
      <c r="G19" s="5" t="inlineStr">
        <is>
          <t>caixa alta inconsistente</t>
        </is>
      </c>
      <c r="H19" s="2">
        <f>COUNTIF($C$2:$C$149,C19)</f>
        <v/>
      </c>
      <c r="I19" s="2">
        <f>IF(COUNTIF($C$2:C19,C19)&gt;1,"Sim","Não")</f>
        <v/>
      </c>
      <c r="J19" s="2">
        <f>INDEX('3_Curadoria'!$F$2:$F$109,MATCH(C19,'3_Curadoria'!$B$2:$B$109,0))</f>
        <v/>
      </c>
      <c r="K19" s="2">
        <f>INDEX('3_Curadoria'!$H$2:$H$109,MATCH(C19,'3_Curadoria'!$B$2:$B$109,0))</f>
        <v/>
      </c>
    </row>
    <row r="20">
      <c r="A20" s="37" t="n">
        <v>19</v>
      </c>
      <c r="B20" s="5" t="inlineStr">
        <is>
          <t>4-((hydroxyimino)methyl)-1-methylhydroquinolin-2-one CollisionEnergy:102040</t>
        </is>
      </c>
      <c r="C20" s="5" t="inlineStr">
        <is>
          <t>4-((Hydroxyimino)methyl)-1-methylquinolin-2-one</t>
        </is>
      </c>
      <c r="D20" s="37" t="inlineStr">
        <is>
          <t>Não informada</t>
        </is>
      </c>
      <c r="E20" s="37" t="inlineStr"/>
      <c r="F20" s="37" t="inlineStr">
        <is>
          <t>10/20/40 (escalonada)</t>
        </is>
      </c>
      <c r="G20" s="5" t="inlineStr">
        <is>
          <t>energia de colisão embutida no nome</t>
        </is>
      </c>
      <c r="H20" s="2">
        <f>COUNTIF($C$2:$C$149,C20)</f>
        <v/>
      </c>
      <c r="I20" s="2">
        <f>IF(COUNTIF($C$2:C20,C20)&gt;1,"Sim","Não")</f>
        <v/>
      </c>
      <c r="J20" s="2">
        <f>INDEX('3_Curadoria'!$F$2:$F$109,MATCH(C20,'3_Curadoria'!$B$2:$B$109,0))</f>
        <v/>
      </c>
      <c r="K20" s="2">
        <f>INDEX('3_Curadoria'!$H$2:$H$109,MATCH(C20,'3_Curadoria'!$B$2:$B$109,0))</f>
        <v/>
      </c>
    </row>
    <row r="21">
      <c r="A21" s="37" t="n">
        <v>20</v>
      </c>
      <c r="B21" s="5" t="inlineStr">
        <is>
          <t>(4S,5Z,6S)-4-(2-methoxy-2-oxoethyl)-5-[2-[(E)-3-phenylprop-2-enoyl]oxyethylidene]-6-[(2S,3R,4S,5S,6R)-3,4,5-trihydroxy-6-(hydroxymethyl)oxan-2-yl]oxy-4H-pyran-3-carboxylic acid</t>
        </is>
      </c>
      <c r="C21" s="5" t="inlineStr">
        <is>
          <t>Cinnamoyl secoiridoid glucoside (oleoside-type)</t>
        </is>
      </c>
      <c r="D21" s="37" t="inlineStr">
        <is>
          <t>Não informada</t>
        </is>
      </c>
      <c r="E21" s="37" t="inlineStr"/>
      <c r="F21" s="37" t="inlineStr">
        <is>
          <t>Não informada</t>
        </is>
      </c>
      <c r="G21" s="5" t="inlineStr">
        <is>
          <t>—</t>
        </is>
      </c>
      <c r="H21" s="2">
        <f>COUNTIF($C$2:$C$149,C21)</f>
        <v/>
      </c>
      <c r="I21" s="2">
        <f>IF(COUNTIF($C$2:C21,C21)&gt;1,"Sim","Não")</f>
        <v/>
      </c>
      <c r="J21" s="2">
        <f>INDEX('3_Curadoria'!$F$2:$F$109,MATCH(C21,'3_Curadoria'!$B$2:$B$109,0))</f>
        <v/>
      </c>
      <c r="K21" s="2">
        <f>INDEX('3_Curadoria'!$H$2:$H$109,MATCH(C21,'3_Curadoria'!$B$2:$B$109,0))</f>
        <v/>
      </c>
    </row>
    <row r="22">
      <c r="A22" s="37" t="n">
        <v>21</v>
      </c>
      <c r="B22" s="5" t="inlineStr">
        <is>
          <t>6-ethyl-4-methylhydroquinolin-2-one CollisionEnergy:205060</t>
        </is>
      </c>
      <c r="C22" s="5" t="inlineStr">
        <is>
          <t>6-Ethyl-4-methylquinolin-2-one</t>
        </is>
      </c>
      <c r="D22" s="37" t="inlineStr">
        <is>
          <t>Não informada</t>
        </is>
      </c>
      <c r="E22" s="37" t="inlineStr"/>
      <c r="F22" s="37" t="inlineStr">
        <is>
          <t>20/50/60 (escalonada)</t>
        </is>
      </c>
      <c r="G22" s="5" t="inlineStr">
        <is>
          <t>energia de colisão embutida no nome</t>
        </is>
      </c>
      <c r="H22" s="2">
        <f>COUNTIF($C$2:$C$149,C22)</f>
        <v/>
      </c>
      <c r="I22" s="2">
        <f>IF(COUNTIF($C$2:C22,C22)&gt;1,"Sim","Não")</f>
        <v/>
      </c>
      <c r="J22" s="2">
        <f>INDEX('3_Curadoria'!$F$2:$F$109,MATCH(C22,'3_Curadoria'!$B$2:$B$109,0))</f>
        <v/>
      </c>
      <c r="K22" s="2">
        <f>INDEX('3_Curadoria'!$H$2:$H$109,MATCH(C22,'3_Curadoria'!$B$2:$B$109,0))</f>
        <v/>
      </c>
    </row>
    <row r="23">
      <c r="A23" s="37" t="n">
        <v>22</v>
      </c>
      <c r="B23" s="5" t="inlineStr">
        <is>
          <t>6-methoxy-4-methyl-2H-chromen-2-one</t>
        </is>
      </c>
      <c r="C23" s="5" t="inlineStr">
        <is>
          <t>6-Methoxy-4-methylcoumarin</t>
        </is>
      </c>
      <c r="D23" s="37" t="inlineStr">
        <is>
          <t>Não informada</t>
        </is>
      </c>
      <c r="E23" s="37" t="inlineStr"/>
      <c r="F23" s="37" t="inlineStr">
        <is>
          <t>Não informada</t>
        </is>
      </c>
      <c r="G23" s="5" t="inlineStr">
        <is>
          <t>—</t>
        </is>
      </c>
      <c r="H23" s="2">
        <f>COUNTIF($C$2:$C$149,C23)</f>
        <v/>
      </c>
      <c r="I23" s="2">
        <f>IF(COUNTIF($C$2:C23,C23)&gt;1,"Sim","Não")</f>
        <v/>
      </c>
      <c r="J23" s="2">
        <f>INDEX('3_Curadoria'!$F$2:$F$109,MATCH(C23,'3_Curadoria'!$B$2:$B$109,0))</f>
        <v/>
      </c>
      <c r="K23" s="2">
        <f>INDEX('3_Curadoria'!$H$2:$H$109,MATCH(C23,'3_Curadoria'!$B$2:$B$109,0))</f>
        <v/>
      </c>
    </row>
    <row r="24">
      <c r="A24" s="37" t="n">
        <v>23</v>
      </c>
      <c r="B24" s="5" t="inlineStr">
        <is>
          <t>6-(Methylthio)guanine CollisionEnergy:205060</t>
        </is>
      </c>
      <c r="C24" s="5" t="inlineStr">
        <is>
          <t>6-(Methylthio)guanine</t>
        </is>
      </c>
      <c r="D24" s="37" t="inlineStr">
        <is>
          <t>Não informada</t>
        </is>
      </c>
      <c r="E24" s="37" t="inlineStr"/>
      <c r="F24" s="37" t="inlineStr">
        <is>
          <t>20/50/60 (escalonada)</t>
        </is>
      </c>
      <c r="G24" s="5" t="inlineStr">
        <is>
          <t>energia de colisão embutida no nome</t>
        </is>
      </c>
      <c r="H24" s="2">
        <f>COUNTIF($C$2:$C$149,C24)</f>
        <v/>
      </c>
      <c r="I24" s="2">
        <f>IF(COUNTIF($C$2:C24,C24)&gt;1,"Sim","Não")</f>
        <v/>
      </c>
      <c r="J24" s="2">
        <f>INDEX('3_Curadoria'!$F$2:$F$109,MATCH(C24,'3_Curadoria'!$B$2:$B$109,0))</f>
        <v/>
      </c>
      <c r="K24" s="2">
        <f>INDEX('3_Curadoria'!$H$2:$H$109,MATCH(C24,'3_Curadoria'!$B$2:$B$109,0))</f>
        <v/>
      </c>
    </row>
    <row r="25">
      <c r="A25" s="37" t="n">
        <v>24</v>
      </c>
      <c r="B25" s="5" t="inlineStr">
        <is>
          <t>7-hydroxy-2-(4-hydroxy-3,5-dimethoxyphenyl)-5-[(2S,3R,4S,5S,6R)-3,4,5-trihydroxy-6-(hydroxymethyl)oxan-2-yl]oxychromen-4-one</t>
        </is>
      </c>
      <c r="C25" s="5" t="inlineStr">
        <is>
          <t>Tricin 5-O-glucoside</t>
        </is>
      </c>
      <c r="D25" s="37" t="inlineStr">
        <is>
          <t>Não informada</t>
        </is>
      </c>
      <c r="E25" s="37" t="inlineStr"/>
      <c r="F25" s="37" t="inlineStr">
        <is>
          <t>Não informada</t>
        </is>
      </c>
      <c r="G25" s="5" t="inlineStr">
        <is>
          <t>—</t>
        </is>
      </c>
      <c r="H25" s="2">
        <f>COUNTIF($C$2:$C$149,C25)</f>
        <v/>
      </c>
      <c r="I25" s="2">
        <f>IF(COUNTIF($C$2:C25,C25)&gt;1,"Sim","Não")</f>
        <v/>
      </c>
      <c r="J25" s="2">
        <f>INDEX('3_Curadoria'!$F$2:$F$109,MATCH(C25,'3_Curadoria'!$B$2:$B$109,0))</f>
        <v/>
      </c>
      <c r="K25" s="2">
        <f>INDEX('3_Curadoria'!$H$2:$H$109,MATCH(C25,'3_Curadoria'!$B$2:$B$109,0))</f>
        <v/>
      </c>
    </row>
    <row r="26">
      <c r="A26" s="37" t="n">
        <v>25</v>
      </c>
      <c r="B26" s="5" t="inlineStr">
        <is>
          <t>ACETOACETATE - 70.0 eV</t>
        </is>
      </c>
      <c r="C26" s="5" t="inlineStr">
        <is>
          <t>Acetoacetate</t>
        </is>
      </c>
      <c r="D26" s="37" t="inlineStr">
        <is>
          <t>Não informada</t>
        </is>
      </c>
      <c r="E26" s="37" t="inlineStr"/>
      <c r="F26" s="37" t="inlineStr">
        <is>
          <t>70 eV</t>
        </is>
      </c>
      <c r="G26" s="5" t="inlineStr">
        <is>
          <t>energia de colisão embutida no nome; caixa alta inconsistente</t>
        </is>
      </c>
      <c r="H26" s="2">
        <f>COUNTIF($C$2:$C$149,C26)</f>
        <v/>
      </c>
      <c r="I26" s="2">
        <f>IF(COUNTIF($C$2:C26,C26)&gt;1,"Sim","Não")</f>
        <v/>
      </c>
      <c r="J26" s="2">
        <f>INDEX('3_Curadoria'!$F$2:$F$109,MATCH(C26,'3_Curadoria'!$B$2:$B$109,0))</f>
        <v/>
      </c>
      <c r="K26" s="2">
        <f>INDEX('3_Curadoria'!$H$2:$H$109,MATCH(C26,'3_Curadoria'!$B$2:$B$109,0))</f>
        <v/>
      </c>
    </row>
    <row r="27">
      <c r="A27" s="37" t="n">
        <v>26</v>
      </c>
      <c r="B27" s="5" t="inlineStr">
        <is>
          <t>AC-LYS-OH - 40.0 eV</t>
        </is>
      </c>
      <c r="C27" s="5" t="inlineStr">
        <is>
          <t>N-Acetyl-L-lysine</t>
        </is>
      </c>
      <c r="D27" s="37" t="inlineStr">
        <is>
          <t>Não informada</t>
        </is>
      </c>
      <c r="E27" s="37" t="inlineStr"/>
      <c r="F27" s="37" t="inlineStr">
        <is>
          <t>40 eV</t>
        </is>
      </c>
      <c r="G27" s="5" t="inlineStr">
        <is>
          <t>energia de colisão embutida no nome</t>
        </is>
      </c>
      <c r="H27" s="2">
        <f>COUNTIF($C$2:$C$149,C27)</f>
        <v/>
      </c>
      <c r="I27" s="2">
        <f>IF(COUNTIF($C$2:C27,C27)&gt;1,"Sim","Não")</f>
        <v/>
      </c>
      <c r="J27" s="2">
        <f>INDEX('3_Curadoria'!$F$2:$F$109,MATCH(C27,'3_Curadoria'!$B$2:$B$109,0))</f>
        <v/>
      </c>
      <c r="K27" s="2">
        <f>INDEX('3_Curadoria'!$H$2:$H$109,MATCH(C27,'3_Curadoria'!$B$2:$B$109,0))</f>
        <v/>
      </c>
    </row>
    <row r="28">
      <c r="A28" s="37" t="n">
        <v>27</v>
      </c>
      <c r="B28" s="5" t="inlineStr">
        <is>
          <t>ALLO-ISOLEUCINE</t>
        </is>
      </c>
      <c r="C28" s="5" t="inlineStr">
        <is>
          <t>allo-Isoleucine</t>
        </is>
      </c>
      <c r="D28" s="37" t="inlineStr">
        <is>
          <t>Não informada</t>
        </is>
      </c>
      <c r="E28" s="37" t="inlineStr"/>
      <c r="F28" s="37" t="inlineStr">
        <is>
          <t>Não informada</t>
        </is>
      </c>
      <c r="G28" s="5" t="inlineStr">
        <is>
          <t>caixa alta inconsistente</t>
        </is>
      </c>
      <c r="H28" s="2">
        <f>COUNTIF($C$2:$C$149,C28)</f>
        <v/>
      </c>
      <c r="I28" s="2">
        <f>IF(COUNTIF($C$2:C28,C28)&gt;1,"Sim","Não")</f>
        <v/>
      </c>
      <c r="J28" s="2">
        <f>INDEX('3_Curadoria'!$F$2:$F$109,MATCH(C28,'3_Curadoria'!$B$2:$B$109,0))</f>
        <v/>
      </c>
      <c r="K28" s="2">
        <f>INDEX('3_Curadoria'!$H$2:$H$109,MATCH(C28,'3_Curadoria'!$B$2:$B$109,0))</f>
        <v/>
      </c>
    </row>
    <row r="29">
      <c r="A29" s="37" t="n">
        <v>28</v>
      </c>
      <c r="B29" s="5" t="inlineStr">
        <is>
          <t>ARABINOSE</t>
        </is>
      </c>
      <c r="C29" s="5" t="inlineStr">
        <is>
          <t>Arabinose</t>
        </is>
      </c>
      <c r="D29" s="37" t="inlineStr">
        <is>
          <t>Não informada</t>
        </is>
      </c>
      <c r="E29" s="37" t="inlineStr"/>
      <c r="F29" s="37" t="inlineStr">
        <is>
          <t>Não informada</t>
        </is>
      </c>
      <c r="G29" s="5" t="inlineStr">
        <is>
          <t>caixa alta inconsistente</t>
        </is>
      </c>
      <c r="H29" s="2">
        <f>COUNTIF($C$2:$C$149,C29)</f>
        <v/>
      </c>
      <c r="I29" s="2">
        <f>IF(COUNTIF($C$2:C29,C29)&gt;1,"Sim","Não")</f>
        <v/>
      </c>
      <c r="J29" s="2">
        <f>INDEX('3_Curadoria'!$F$2:$F$109,MATCH(C29,'3_Curadoria'!$B$2:$B$109,0))</f>
        <v/>
      </c>
      <c r="K29" s="2">
        <f>INDEX('3_Curadoria'!$H$2:$H$109,MATCH(C29,'3_Curadoria'!$B$2:$B$109,0))</f>
        <v/>
      </c>
    </row>
    <row r="30">
      <c r="A30" s="37" t="n">
        <v>29</v>
      </c>
      <c r="B30" s="5" t="inlineStr">
        <is>
          <t>Arginine - 70.00 eV</t>
        </is>
      </c>
      <c r="C30" s="5" t="inlineStr">
        <is>
          <t>Arginine</t>
        </is>
      </c>
      <c r="D30" s="37" t="inlineStr">
        <is>
          <t>Não informada</t>
        </is>
      </c>
      <c r="E30" s="37" t="inlineStr"/>
      <c r="F30" s="37" t="inlineStr">
        <is>
          <t>70 eV</t>
        </is>
      </c>
      <c r="G30" s="5" t="inlineStr">
        <is>
          <t>energia de colisão embutida no nome</t>
        </is>
      </c>
      <c r="H30" s="2">
        <f>COUNTIF($C$2:$C$149,C30)</f>
        <v/>
      </c>
      <c r="I30" s="2">
        <f>IF(COUNTIF($C$2:C30,C30)&gt;1,"Sim","Não")</f>
        <v/>
      </c>
      <c r="J30" s="2">
        <f>INDEX('3_Curadoria'!$F$2:$F$109,MATCH(C30,'3_Curadoria'!$B$2:$B$109,0))</f>
        <v/>
      </c>
      <c r="K30" s="2">
        <f>INDEX('3_Curadoria'!$H$2:$H$109,MATCH(C30,'3_Curadoria'!$B$2:$B$109,0))</f>
        <v/>
      </c>
    </row>
    <row r="31">
      <c r="A31" s="37" t="n">
        <v>30</v>
      </c>
      <c r="B31" s="5" t="inlineStr">
        <is>
          <t>ASPARAGINE</t>
        </is>
      </c>
      <c r="C31" s="5" t="inlineStr">
        <is>
          <t>Asparagine</t>
        </is>
      </c>
      <c r="D31" s="37" t="inlineStr">
        <is>
          <t>Não informada</t>
        </is>
      </c>
      <c r="E31" s="37" t="inlineStr"/>
      <c r="F31" s="37" t="inlineStr">
        <is>
          <t>Não informada</t>
        </is>
      </c>
      <c r="G31" s="5" t="inlineStr">
        <is>
          <t>caixa alta inconsistente</t>
        </is>
      </c>
      <c r="H31" s="2">
        <f>COUNTIF($C$2:$C$149,C31)</f>
        <v/>
      </c>
      <c r="I31" s="2">
        <f>IF(COUNTIF($C$2:C31,C31)&gt;1,"Sim","Não")</f>
        <v/>
      </c>
      <c r="J31" s="2">
        <f>INDEX('3_Curadoria'!$F$2:$F$109,MATCH(C31,'3_Curadoria'!$B$2:$B$109,0))</f>
        <v/>
      </c>
      <c r="K31" s="2">
        <f>INDEX('3_Curadoria'!$H$2:$H$109,MATCH(C31,'3_Curadoria'!$B$2:$B$109,0))</f>
        <v/>
      </c>
    </row>
    <row r="32">
      <c r="A32" s="37" t="n">
        <v>31</v>
      </c>
      <c r="B32" s="5" t="inlineStr">
        <is>
          <t>ASP-PHE</t>
        </is>
      </c>
      <c r="C32" s="5" t="inlineStr">
        <is>
          <t>Asp-Phe</t>
        </is>
      </c>
      <c r="D32" s="37" t="inlineStr">
        <is>
          <t>Não informada</t>
        </is>
      </c>
      <c r="E32" s="37" t="inlineStr"/>
      <c r="F32" s="37" t="inlineStr">
        <is>
          <t>Não informada</t>
        </is>
      </c>
      <c r="G32" s="5" t="inlineStr">
        <is>
          <t>—</t>
        </is>
      </c>
      <c r="H32" s="2">
        <f>COUNTIF($C$2:$C$149,C32)</f>
        <v/>
      </c>
      <c r="I32" s="2">
        <f>IF(COUNTIF($C$2:C32,C32)&gt;1,"Sim","Não")</f>
        <v/>
      </c>
      <c r="J32" s="2">
        <f>INDEX('3_Curadoria'!$F$2:$F$109,MATCH(C32,'3_Curadoria'!$B$2:$B$109,0))</f>
        <v/>
      </c>
      <c r="K32" s="2">
        <f>INDEX('3_Curadoria'!$H$2:$H$109,MATCH(C32,'3_Curadoria'!$B$2:$B$109,0))</f>
        <v/>
      </c>
    </row>
    <row r="33">
      <c r="A33" s="37" t="n">
        <v>32</v>
      </c>
      <c r="B33" s="5" t="inlineStr">
        <is>
          <t>BERBAMINE CollisionEnergy:102040</t>
        </is>
      </c>
      <c r="C33" s="5" t="inlineStr">
        <is>
          <t>Berbamine</t>
        </is>
      </c>
      <c r="D33" s="37" t="inlineStr">
        <is>
          <t>Não informada</t>
        </is>
      </c>
      <c r="E33" s="37" t="inlineStr"/>
      <c r="F33" s="37" t="inlineStr">
        <is>
          <t>10/20/40 (escalonada)</t>
        </is>
      </c>
      <c r="G33" s="5" t="inlineStr">
        <is>
          <t>energia de colisão embutida no nome; caixa alta inconsistente</t>
        </is>
      </c>
      <c r="H33" s="2">
        <f>COUNTIF($C$2:$C$149,C33)</f>
        <v/>
      </c>
      <c r="I33" s="2">
        <f>IF(COUNTIF($C$2:C33,C33)&gt;1,"Sim","Não")</f>
        <v/>
      </c>
      <c r="J33" s="2">
        <f>INDEX('3_Curadoria'!$F$2:$F$109,MATCH(C33,'3_Curadoria'!$B$2:$B$109,0))</f>
        <v/>
      </c>
      <c r="K33" s="2">
        <f>INDEX('3_Curadoria'!$H$2:$H$109,MATCH(C33,'3_Curadoria'!$B$2:$B$109,0))</f>
        <v/>
      </c>
    </row>
    <row r="34">
      <c r="A34" s="37" t="n">
        <v>33</v>
      </c>
      <c r="B34" s="5" t="inlineStr">
        <is>
          <t>CAFFEINE - 20.0 eV</t>
        </is>
      </c>
      <c r="C34" s="5" t="inlineStr">
        <is>
          <t>Caffeine</t>
        </is>
      </c>
      <c r="D34" s="37" t="inlineStr">
        <is>
          <t>Não informada</t>
        </is>
      </c>
      <c r="E34" s="37" t="inlineStr"/>
      <c r="F34" s="37" t="inlineStr">
        <is>
          <t>20 eV</t>
        </is>
      </c>
      <c r="G34" s="5" t="inlineStr">
        <is>
          <t>energia de colisão embutida no nome; caixa alta inconsistente</t>
        </is>
      </c>
      <c r="H34" s="2">
        <f>COUNTIF($C$2:$C$149,C34)</f>
        <v/>
      </c>
      <c r="I34" s="2">
        <f>IF(COUNTIF($C$2:C34,C34)&gt;1,"Sim","Não")</f>
        <v/>
      </c>
      <c r="J34" s="2">
        <f>INDEX('3_Curadoria'!$F$2:$F$109,MATCH(C34,'3_Curadoria'!$B$2:$B$109,0))</f>
        <v/>
      </c>
      <c r="K34" s="2">
        <f>INDEX('3_Curadoria'!$H$2:$H$109,MATCH(C34,'3_Curadoria'!$B$2:$B$109,0))</f>
        <v/>
      </c>
    </row>
    <row r="35">
      <c r="A35" s="37" t="n">
        <v>34</v>
      </c>
      <c r="B35" s="5" t="inlineStr">
        <is>
          <t>CHOLINE</t>
        </is>
      </c>
      <c r="C35" s="5" t="inlineStr">
        <is>
          <t>Choline</t>
        </is>
      </c>
      <c r="D35" s="37" t="inlineStr">
        <is>
          <t>Não informada</t>
        </is>
      </c>
      <c r="E35" s="37" t="inlineStr"/>
      <c r="F35" s="37" t="inlineStr">
        <is>
          <t>Não informada</t>
        </is>
      </c>
      <c r="G35" s="5" t="inlineStr">
        <is>
          <t>caixa alta inconsistente</t>
        </is>
      </c>
      <c r="H35" s="2">
        <f>COUNTIF($C$2:$C$149,C35)</f>
        <v/>
      </c>
      <c r="I35" s="2">
        <f>IF(COUNTIF($C$2:C35,C35)&gt;1,"Sim","Não")</f>
        <v/>
      </c>
      <c r="J35" s="2">
        <f>INDEX('3_Curadoria'!$F$2:$F$109,MATCH(C35,'3_Curadoria'!$B$2:$B$109,0))</f>
        <v/>
      </c>
      <c r="K35" s="2">
        <f>INDEX('3_Curadoria'!$H$2:$H$109,MATCH(C35,'3_Curadoria'!$B$2:$B$109,0))</f>
        <v/>
      </c>
    </row>
    <row r="36">
      <c r="A36" s="37" t="n">
        <v>35</v>
      </c>
      <c r="B36" s="5" t="inlineStr">
        <is>
          <t>Contaminants septum vial Thermo C4000-53 and C4000-54 serie</t>
        </is>
      </c>
      <c r="C36" s="5" t="inlineStr">
        <is>
          <t>Septum vial contaminants (Thermo C4000-53/54)</t>
        </is>
      </c>
      <c r="D36" s="37" t="inlineStr">
        <is>
          <t>Não informada</t>
        </is>
      </c>
      <c r="E36" s="37" t="inlineStr"/>
      <c r="F36" s="37" t="inlineStr">
        <is>
          <t>Não informada</t>
        </is>
      </c>
      <c r="G36" s="5" t="inlineStr">
        <is>
          <t>—</t>
        </is>
      </c>
      <c r="H36" s="2">
        <f>COUNTIF($C$2:$C$149,C36)</f>
        <v/>
      </c>
      <c r="I36" s="2">
        <f>IF(COUNTIF($C$2:C36,C36)&gt;1,"Sim","Não")</f>
        <v/>
      </c>
      <c r="J36" s="2">
        <f>INDEX('3_Curadoria'!$F$2:$F$109,MATCH(C36,'3_Curadoria'!$B$2:$B$109,0))</f>
        <v/>
      </c>
      <c r="K36" s="2">
        <f>INDEX('3_Curadoria'!$H$2:$H$109,MATCH(C36,'3_Curadoria'!$B$2:$B$109,0))</f>
        <v/>
      </c>
    </row>
    <row r="37">
      <c r="A37" s="37" t="n">
        <v>36</v>
      </c>
      <c r="B37" s="5" t="inlineStr">
        <is>
          <t>Cyclohexylamine</t>
        </is>
      </c>
      <c r="C37" s="5" t="inlineStr">
        <is>
          <t>Cyclohexylamine</t>
        </is>
      </c>
      <c r="D37" s="37" t="inlineStr">
        <is>
          <t>Não informada</t>
        </is>
      </c>
      <c r="E37" s="37" t="inlineStr"/>
      <c r="F37" s="37" t="inlineStr">
        <is>
          <t>Não informada</t>
        </is>
      </c>
      <c r="G37" s="5" t="inlineStr">
        <is>
          <t>—</t>
        </is>
      </c>
      <c r="H37" s="2">
        <f>COUNTIF($C$2:$C$149,C37)</f>
        <v/>
      </c>
      <c r="I37" s="2">
        <f>IF(COUNTIF($C$2:C37,C37)&gt;1,"Sim","Não")</f>
        <v/>
      </c>
      <c r="J37" s="2">
        <f>INDEX('3_Curadoria'!$F$2:$F$109,MATCH(C37,'3_Curadoria'!$B$2:$B$109,0))</f>
        <v/>
      </c>
      <c r="K37" s="2">
        <f>INDEX('3_Curadoria'!$H$2:$H$109,MATCH(C37,'3_Curadoria'!$B$2:$B$109,0))</f>
        <v/>
      </c>
    </row>
    <row r="38">
      <c r="A38" s="37" t="n">
        <v>37</v>
      </c>
      <c r="B38" s="5" t="inlineStr">
        <is>
          <t>cyclo(L-Val-L-Pro)</t>
        </is>
      </c>
      <c r="C38" s="5" t="inlineStr">
        <is>
          <t>cyclo(L-Val-L-Pro)</t>
        </is>
      </c>
      <c r="D38" s="37" t="inlineStr">
        <is>
          <t>Não informada</t>
        </is>
      </c>
      <c r="E38" s="37" t="inlineStr"/>
      <c r="F38" s="37" t="inlineStr">
        <is>
          <t>Não informada</t>
        </is>
      </c>
      <c r="G38" s="5" t="inlineStr">
        <is>
          <t>—</t>
        </is>
      </c>
      <c r="H38" s="2">
        <f>COUNTIF($C$2:$C$149,C38)</f>
        <v/>
      </c>
      <c r="I38" s="2">
        <f>IF(COUNTIF($C$2:C38,C38)&gt;1,"Sim","Não")</f>
        <v/>
      </c>
      <c r="J38" s="2">
        <f>INDEX('3_Curadoria'!$F$2:$F$109,MATCH(C38,'3_Curadoria'!$B$2:$B$109,0))</f>
        <v/>
      </c>
      <c r="K38" s="2">
        <f>INDEX('3_Curadoria'!$H$2:$H$109,MATCH(C38,'3_Curadoria'!$B$2:$B$109,0))</f>
        <v/>
      </c>
    </row>
    <row r="39">
      <c r="A39" s="37" t="n">
        <v>38</v>
      </c>
      <c r="B39" s="5" t="inlineStr">
        <is>
          <t>DAG (16:0/18:2)</t>
        </is>
      </c>
      <c r="C39" s="5" t="inlineStr">
        <is>
          <t>DAG(16:0/18:2)</t>
        </is>
      </c>
      <c r="D39" s="37" t="inlineStr">
        <is>
          <t>Não informada</t>
        </is>
      </c>
      <c r="E39" s="37" t="inlineStr"/>
      <c r="F39" s="37" t="inlineStr">
        <is>
          <t>Não informada</t>
        </is>
      </c>
      <c r="G39" s="5" t="inlineStr">
        <is>
          <t>—</t>
        </is>
      </c>
      <c r="H39" s="2">
        <f>COUNTIF($C$2:$C$149,C39)</f>
        <v/>
      </c>
      <c r="I39" s="2">
        <f>IF(COUNTIF($C$2:C39,C39)&gt;1,"Sim","Não")</f>
        <v/>
      </c>
      <c r="J39" s="2">
        <f>INDEX('3_Curadoria'!$F$2:$F$109,MATCH(C39,'3_Curadoria'!$B$2:$B$109,0))</f>
        <v/>
      </c>
      <c r="K39" s="2">
        <f>INDEX('3_Curadoria'!$H$2:$H$109,MATCH(C39,'3_Curadoria'!$B$2:$B$109,0))</f>
        <v/>
      </c>
    </row>
    <row r="40">
      <c r="A40" s="37" t="n">
        <v>39</v>
      </c>
      <c r="B40" s="5" t="inlineStr">
        <is>
          <t>d-Dethiobiotin CollisionEnergy:102040</t>
        </is>
      </c>
      <c r="C40" s="5" t="inlineStr">
        <is>
          <t>d-Dethiobiotin</t>
        </is>
      </c>
      <c r="D40" s="37" t="inlineStr">
        <is>
          <t>Não informada</t>
        </is>
      </c>
      <c r="E40" s="37" t="inlineStr"/>
      <c r="F40" s="37" t="inlineStr">
        <is>
          <t>10/20/40 (escalonada)</t>
        </is>
      </c>
      <c r="G40" s="5" t="inlineStr">
        <is>
          <t>energia de colisão embutida no nome</t>
        </is>
      </c>
      <c r="H40" s="2">
        <f>COUNTIF($C$2:$C$149,C40)</f>
        <v/>
      </c>
      <c r="I40" s="2">
        <f>IF(COUNTIF($C$2:C40,C40)&gt;1,"Sim","Não")</f>
        <v/>
      </c>
      <c r="J40" s="2">
        <f>INDEX('3_Curadoria'!$F$2:$F$109,MATCH(C40,'3_Curadoria'!$B$2:$B$109,0))</f>
        <v/>
      </c>
      <c r="K40" s="2">
        <f>INDEX('3_Curadoria'!$H$2:$H$109,MATCH(C40,'3_Curadoria'!$B$2:$B$109,0))</f>
        <v/>
      </c>
    </row>
    <row r="41">
      <c r="A41" s="37" t="n">
        <v>40</v>
      </c>
      <c r="B41" s="5" t="inlineStr">
        <is>
          <t>Diosmin</t>
        </is>
      </c>
      <c r="C41" s="5" t="inlineStr">
        <is>
          <t>Diosmin</t>
        </is>
      </c>
      <c r="D41" s="37" t="inlineStr">
        <is>
          <t>Não informada</t>
        </is>
      </c>
      <c r="E41" s="37" t="inlineStr"/>
      <c r="F41" s="37" t="inlineStr">
        <is>
          <t>Não informada</t>
        </is>
      </c>
      <c r="G41" s="5" t="inlineStr">
        <is>
          <t>—</t>
        </is>
      </c>
      <c r="H41" s="2">
        <f>COUNTIF($C$2:$C$149,C41)</f>
        <v/>
      </c>
      <c r="I41" s="2">
        <f>IF(COUNTIF($C$2:C41,C41)&gt;1,"Sim","Não")</f>
        <v/>
      </c>
      <c r="J41" s="2">
        <f>INDEX('3_Curadoria'!$F$2:$F$109,MATCH(C41,'3_Curadoria'!$B$2:$B$109,0))</f>
        <v/>
      </c>
      <c r="K41" s="2">
        <f>INDEX('3_Curadoria'!$H$2:$H$109,MATCH(C41,'3_Curadoria'!$B$2:$B$109,0))</f>
        <v/>
      </c>
    </row>
    <row r="42">
      <c r="A42" s="37" t="n">
        <v>41</v>
      </c>
      <c r="B42" s="5" t="inlineStr">
        <is>
          <t>D-Mannitol</t>
        </is>
      </c>
      <c r="C42" s="5" t="inlineStr">
        <is>
          <t>D-Mannitol</t>
        </is>
      </c>
      <c r="D42" s="37" t="inlineStr">
        <is>
          <t>Não informada</t>
        </is>
      </c>
      <c r="E42" s="37" t="inlineStr"/>
      <c r="F42" s="37" t="inlineStr">
        <is>
          <t>Não informada</t>
        </is>
      </c>
      <c r="G42" s="5" t="inlineStr">
        <is>
          <t>—</t>
        </is>
      </c>
      <c r="H42" s="2">
        <f>COUNTIF($C$2:$C$149,C42)</f>
        <v/>
      </c>
      <c r="I42" s="2">
        <f>IF(COUNTIF($C$2:C42,C42)&gt;1,"Sim","Não")</f>
        <v/>
      </c>
      <c r="J42" s="2">
        <f>INDEX('3_Curadoria'!$F$2:$F$109,MATCH(C42,'3_Curadoria'!$B$2:$B$109,0))</f>
        <v/>
      </c>
      <c r="K42" s="2">
        <f>INDEX('3_Curadoria'!$H$2:$H$109,MATCH(C42,'3_Curadoria'!$B$2:$B$109,0))</f>
        <v/>
      </c>
    </row>
    <row r="43">
      <c r="A43" s="37" t="n">
        <v>42</v>
      </c>
      <c r="B43" s="5" t="inlineStr">
        <is>
          <t>ferulic acid CollisionEnergy:205060</t>
        </is>
      </c>
      <c r="C43" s="5" t="inlineStr">
        <is>
          <t>Ferulic acid</t>
        </is>
      </c>
      <c r="D43" s="37" t="inlineStr">
        <is>
          <t>Não informada</t>
        </is>
      </c>
      <c r="E43" s="37" t="inlineStr"/>
      <c r="F43" s="37" t="inlineStr">
        <is>
          <t>20/50/60 (escalonada)</t>
        </is>
      </c>
      <c r="G43" s="5" t="inlineStr">
        <is>
          <t>energia de colisão embutida no nome</t>
        </is>
      </c>
      <c r="H43" s="2">
        <f>COUNTIF($C$2:$C$149,C43)</f>
        <v/>
      </c>
      <c r="I43" s="2">
        <f>IF(COUNTIF($C$2:C43,C43)&gt;1,"Sim","Não")</f>
        <v/>
      </c>
      <c r="J43" s="2">
        <f>INDEX('3_Curadoria'!$F$2:$F$109,MATCH(C43,'3_Curadoria'!$B$2:$B$109,0))</f>
        <v/>
      </c>
      <c r="K43" s="2">
        <f>INDEX('3_Curadoria'!$H$2:$H$109,MATCH(C43,'3_Curadoria'!$B$2:$B$109,0))</f>
        <v/>
      </c>
    </row>
    <row r="44">
      <c r="A44" s="37" t="n">
        <v>43</v>
      </c>
      <c r="B44" s="5" t="inlineStr">
        <is>
          <t>Finasteride</t>
        </is>
      </c>
      <c r="C44" s="5" t="inlineStr">
        <is>
          <t>Finasteride</t>
        </is>
      </c>
      <c r="D44" s="37" t="inlineStr">
        <is>
          <t>Não informada</t>
        </is>
      </c>
      <c r="E44" s="37" t="inlineStr"/>
      <c r="F44" s="37" t="inlineStr">
        <is>
          <t>Não informada</t>
        </is>
      </c>
      <c r="G44" s="5" t="inlineStr">
        <is>
          <t>—</t>
        </is>
      </c>
      <c r="H44" s="2">
        <f>COUNTIF($C$2:$C$149,C44)</f>
        <v/>
      </c>
      <c r="I44" s="2">
        <f>IF(COUNTIF($C$2:C44,C44)&gt;1,"Sim","Não")</f>
        <v/>
      </c>
      <c r="J44" s="2">
        <f>INDEX('3_Curadoria'!$F$2:$F$109,MATCH(C44,'3_Curadoria'!$B$2:$B$109,0))</f>
        <v/>
      </c>
      <c r="K44" s="2">
        <f>INDEX('3_Curadoria'!$H$2:$H$109,MATCH(C44,'3_Curadoria'!$B$2:$B$109,0))</f>
        <v/>
      </c>
    </row>
    <row r="45">
      <c r="A45" s="37" t="n">
        <v>44</v>
      </c>
      <c r="B45" s="5" t="inlineStr">
        <is>
          <t>Gitoxigenin Diacetate</t>
        </is>
      </c>
      <c r="C45" s="5" t="inlineStr">
        <is>
          <t>Gitoxigenin diacetate</t>
        </is>
      </c>
      <c r="D45" s="37" t="inlineStr">
        <is>
          <t>Não informada</t>
        </is>
      </c>
      <c r="E45" s="37" t="inlineStr"/>
      <c r="F45" s="37" t="inlineStr">
        <is>
          <t>Não informada</t>
        </is>
      </c>
      <c r="G45" s="5" t="inlineStr">
        <is>
          <t>—</t>
        </is>
      </c>
      <c r="H45" s="2">
        <f>COUNTIF($C$2:$C$149,C45)</f>
        <v/>
      </c>
      <c r="I45" s="2">
        <f>IF(COUNTIF($C$2:C45,C45)&gt;1,"Sim","Não")</f>
        <v/>
      </c>
      <c r="J45" s="2">
        <f>INDEX('3_Curadoria'!$F$2:$F$109,MATCH(C45,'3_Curadoria'!$B$2:$B$109,0))</f>
        <v/>
      </c>
      <c r="K45" s="2">
        <f>INDEX('3_Curadoria'!$H$2:$H$109,MATCH(C45,'3_Curadoria'!$B$2:$B$109,0))</f>
        <v/>
      </c>
    </row>
    <row r="46">
      <c r="A46" s="37" t="n">
        <v>45</v>
      </c>
      <c r="B46" s="5" t="inlineStr">
        <is>
          <t>GLUCOSAMINE</t>
        </is>
      </c>
      <c r="C46" s="5" t="inlineStr">
        <is>
          <t>Glucosamine</t>
        </is>
      </c>
      <c r="D46" s="37" t="inlineStr">
        <is>
          <t>Não informada</t>
        </is>
      </c>
      <c r="E46" s="37" t="inlineStr"/>
      <c r="F46" s="37" t="inlineStr">
        <is>
          <t>Não informada</t>
        </is>
      </c>
      <c r="G46" s="5" t="inlineStr">
        <is>
          <t>caixa alta inconsistente</t>
        </is>
      </c>
      <c r="H46" s="2">
        <f>COUNTIF($C$2:$C$149,C46)</f>
        <v/>
      </c>
      <c r="I46" s="2">
        <f>IF(COUNTIF($C$2:C46,C46)&gt;1,"Sim","Não")</f>
        <v/>
      </c>
      <c r="J46" s="2">
        <f>INDEX('3_Curadoria'!$F$2:$F$109,MATCH(C46,'3_Curadoria'!$B$2:$B$109,0))</f>
        <v/>
      </c>
      <c r="K46" s="2">
        <f>INDEX('3_Curadoria'!$H$2:$H$109,MATCH(C46,'3_Curadoria'!$B$2:$B$109,0))</f>
        <v/>
      </c>
    </row>
    <row r="47">
      <c r="A47" s="37" t="n">
        <v>46</v>
      </c>
      <c r="B47" s="5" t="inlineStr">
        <is>
          <t>Glycyl-L-leucine CollisionEnergy:205060</t>
        </is>
      </c>
      <c r="C47" s="5" t="inlineStr">
        <is>
          <t>Gly-Leu</t>
        </is>
      </c>
      <c r="D47" s="37" t="inlineStr">
        <is>
          <t>Não informada</t>
        </is>
      </c>
      <c r="E47" s="37" t="inlineStr"/>
      <c r="F47" s="37" t="inlineStr">
        <is>
          <t>20/50/60 (escalonada)</t>
        </is>
      </c>
      <c r="G47" s="5" t="inlineStr">
        <is>
          <t>energia de colisão embutida no nome</t>
        </is>
      </c>
      <c r="H47" s="2">
        <f>COUNTIF($C$2:$C$149,C47)</f>
        <v/>
      </c>
      <c r="I47" s="2">
        <f>IF(COUNTIF($C$2:C47,C47)&gt;1,"Sim","Não")</f>
        <v/>
      </c>
      <c r="J47" s="2">
        <f>INDEX('3_Curadoria'!$F$2:$F$109,MATCH(C47,'3_Curadoria'!$B$2:$B$109,0))</f>
        <v/>
      </c>
      <c r="K47" s="2">
        <f>INDEX('3_Curadoria'!$H$2:$H$109,MATCH(C47,'3_Curadoria'!$B$2:$B$109,0))</f>
        <v/>
      </c>
    </row>
    <row r="48">
      <c r="A48" s="37" t="n">
        <v>47</v>
      </c>
      <c r="B48" s="5" t="inlineStr">
        <is>
          <t>Gly-Leu - 40.0 eV</t>
        </is>
      </c>
      <c r="C48" s="5" t="inlineStr">
        <is>
          <t>Gly-Leu</t>
        </is>
      </c>
      <c r="D48" s="37" t="inlineStr">
        <is>
          <t>Não informada</t>
        </is>
      </c>
      <c r="E48" s="37" t="inlineStr"/>
      <c r="F48" s="37" t="inlineStr">
        <is>
          <t>40 eV</t>
        </is>
      </c>
      <c r="G48" s="5" t="inlineStr">
        <is>
          <t>energia de colisão embutida no nome</t>
        </is>
      </c>
      <c r="H48" s="2">
        <f>COUNTIF($C$2:$C$149,C48)</f>
        <v/>
      </c>
      <c r="I48" s="2">
        <f>IF(COUNTIF($C$2:C48,C48)&gt;1,"Sim","Não")</f>
        <v/>
      </c>
      <c r="J48" s="2">
        <f>INDEX('3_Curadoria'!$F$2:$F$109,MATCH(C48,'3_Curadoria'!$B$2:$B$109,0))</f>
        <v/>
      </c>
      <c r="K48" s="2">
        <f>INDEX('3_Curadoria'!$H$2:$H$109,MATCH(C48,'3_Curadoria'!$B$2:$B$109,0))</f>
        <v/>
      </c>
    </row>
    <row r="49">
      <c r="A49" s="37" t="n">
        <v>48</v>
      </c>
      <c r="B49" s="5" t="inlineStr">
        <is>
          <t>guaiacol CollisionEnergy:102040</t>
        </is>
      </c>
      <c r="C49" s="5" t="inlineStr">
        <is>
          <t>Guaiacol</t>
        </is>
      </c>
      <c r="D49" s="37" t="inlineStr">
        <is>
          <t>Não informada</t>
        </is>
      </c>
      <c r="E49" s="37" t="inlineStr"/>
      <c r="F49" s="37" t="inlineStr">
        <is>
          <t>10/20/40 (escalonada)</t>
        </is>
      </c>
      <c r="G49" s="5" t="inlineStr">
        <is>
          <t>energia de colisão embutida no nome</t>
        </is>
      </c>
      <c r="H49" s="2">
        <f>COUNTIF($C$2:$C$149,C49)</f>
        <v/>
      </c>
      <c r="I49" s="2">
        <f>IF(COUNTIF($C$2:C49,C49)&gt;1,"Sim","Não")</f>
        <v/>
      </c>
      <c r="J49" s="2">
        <f>INDEX('3_Curadoria'!$F$2:$F$109,MATCH(C49,'3_Curadoria'!$B$2:$B$109,0))</f>
        <v/>
      </c>
      <c r="K49" s="2">
        <f>INDEX('3_Curadoria'!$H$2:$H$109,MATCH(C49,'3_Curadoria'!$B$2:$B$109,0))</f>
        <v/>
      </c>
    </row>
    <row r="50">
      <c r="A50" s="37" t="n">
        <v>49</v>
      </c>
      <c r="B50" s="5" t="inlineStr">
        <is>
          <t>guaiacol CollisionEnergy:205060</t>
        </is>
      </c>
      <c r="C50" s="5" t="inlineStr">
        <is>
          <t>Guaiacol</t>
        </is>
      </c>
      <c r="D50" s="37" t="inlineStr">
        <is>
          <t>Não informada</t>
        </is>
      </c>
      <c r="E50" s="37" t="inlineStr"/>
      <c r="F50" s="37" t="inlineStr">
        <is>
          <t>20/50/60 (escalonada)</t>
        </is>
      </c>
      <c r="G50" s="5" t="inlineStr">
        <is>
          <t>energia de colisão embutida no nome</t>
        </is>
      </c>
      <c r="H50" s="2">
        <f>COUNTIF($C$2:$C$149,C50)</f>
        <v/>
      </c>
      <c r="I50" s="2">
        <f>IF(COUNTIF($C$2:C50,C50)&gt;1,"Sim","Não")</f>
        <v/>
      </c>
      <c r="J50" s="2">
        <f>INDEX('3_Curadoria'!$F$2:$F$109,MATCH(C50,'3_Curadoria'!$B$2:$B$109,0))</f>
        <v/>
      </c>
      <c r="K50" s="2">
        <f>INDEX('3_Curadoria'!$H$2:$H$109,MATCH(C50,'3_Curadoria'!$B$2:$B$109,0))</f>
        <v/>
      </c>
    </row>
    <row r="51">
      <c r="A51" s="37" t="n">
        <v>50</v>
      </c>
      <c r="B51" s="5" t="inlineStr">
        <is>
          <t>Guanosine - 40.0 eV</t>
        </is>
      </c>
      <c r="C51" s="5" t="inlineStr">
        <is>
          <t>Guanosine</t>
        </is>
      </c>
      <c r="D51" s="37" t="inlineStr">
        <is>
          <t>Não informada</t>
        </is>
      </c>
      <c r="E51" s="37" t="inlineStr"/>
      <c r="F51" s="37" t="inlineStr">
        <is>
          <t>40 eV</t>
        </is>
      </c>
      <c r="G51" s="5" t="inlineStr">
        <is>
          <t>energia de colisão embutida no nome</t>
        </is>
      </c>
      <c r="H51" s="2">
        <f>COUNTIF($C$2:$C$149,C51)</f>
        <v/>
      </c>
      <c r="I51" s="2">
        <f>IF(COUNTIF($C$2:C51,C51)&gt;1,"Sim","Não")</f>
        <v/>
      </c>
      <c r="J51" s="2">
        <f>INDEX('3_Curadoria'!$F$2:$F$109,MATCH(C51,'3_Curadoria'!$B$2:$B$109,0))</f>
        <v/>
      </c>
      <c r="K51" s="2">
        <f>INDEX('3_Curadoria'!$H$2:$H$109,MATCH(C51,'3_Curadoria'!$B$2:$B$109,0))</f>
        <v/>
      </c>
    </row>
    <row r="52">
      <c r="A52" s="37" t="n">
        <v>51</v>
      </c>
      <c r="B52" s="5" t="inlineStr">
        <is>
          <t>GUANOSINE - 40.0 eV</t>
        </is>
      </c>
      <c r="C52" s="5" t="inlineStr">
        <is>
          <t>Guanosine</t>
        </is>
      </c>
      <c r="D52" s="37" t="inlineStr">
        <is>
          <t>Não informada</t>
        </is>
      </c>
      <c r="E52" s="37" t="inlineStr"/>
      <c r="F52" s="37" t="inlineStr">
        <is>
          <t>40 eV</t>
        </is>
      </c>
      <c r="G52" s="5" t="inlineStr">
        <is>
          <t>energia de colisão embutida no nome; caixa alta inconsistente</t>
        </is>
      </c>
      <c r="H52" s="2">
        <f>COUNTIF($C$2:$C$149,C52)</f>
        <v/>
      </c>
      <c r="I52" s="2">
        <f>IF(COUNTIF($C$2:C52,C52)&gt;1,"Sim","Não")</f>
        <v/>
      </c>
      <c r="J52" s="2">
        <f>INDEX('3_Curadoria'!$F$2:$F$109,MATCH(C52,'3_Curadoria'!$B$2:$B$109,0))</f>
        <v/>
      </c>
      <c r="K52" s="2">
        <f>INDEX('3_Curadoria'!$H$2:$H$109,MATCH(C52,'3_Curadoria'!$B$2:$B$109,0))</f>
        <v/>
      </c>
    </row>
    <row r="53">
      <c r="A53" s="37" t="n">
        <v>52</v>
      </c>
      <c r="B53" s="5" t="inlineStr">
        <is>
          <t>Harmane</t>
        </is>
      </c>
      <c r="C53" s="5" t="inlineStr">
        <is>
          <t>Harmane</t>
        </is>
      </c>
      <c r="D53" s="37" t="inlineStr">
        <is>
          <t>Não informada</t>
        </is>
      </c>
      <c r="E53" s="37" t="inlineStr"/>
      <c r="F53" s="37" t="inlineStr">
        <is>
          <t>Não informada</t>
        </is>
      </c>
      <c r="G53" s="5" t="inlineStr">
        <is>
          <t>—</t>
        </is>
      </c>
      <c r="H53" s="2">
        <f>COUNTIF($C$2:$C$149,C53)</f>
        <v/>
      </c>
      <c r="I53" s="2">
        <f>IF(COUNTIF($C$2:C53,C53)&gt;1,"Sim","Não")</f>
        <v/>
      </c>
      <c r="J53" s="2">
        <f>INDEX('3_Curadoria'!$F$2:$F$109,MATCH(C53,'3_Curadoria'!$B$2:$B$109,0))</f>
        <v/>
      </c>
      <c r="K53" s="2">
        <f>INDEX('3_Curadoria'!$H$2:$H$109,MATCH(C53,'3_Curadoria'!$B$2:$B$109,0))</f>
        <v/>
      </c>
    </row>
    <row r="54">
      <c r="A54" s="37" t="n">
        <v>53</v>
      </c>
      <c r="B54" s="5" t="inlineStr">
        <is>
          <t>HMDB:HMDB02001-1936 Dimethylmalonic acid</t>
        </is>
      </c>
      <c r="C54" s="5" t="inlineStr">
        <is>
          <t>Dimethylmalonic acid</t>
        </is>
      </c>
      <c r="D54" s="37" t="inlineStr">
        <is>
          <t>HMDB</t>
        </is>
      </c>
      <c r="E54" s="37" t="inlineStr">
        <is>
          <t>HMDB02001-1936</t>
        </is>
      </c>
      <c r="F54" s="37" t="inlineStr">
        <is>
          <t>Não informada</t>
        </is>
      </c>
      <c r="G54" s="5" t="inlineStr">
        <is>
          <t>ID do banco embutido no nome</t>
        </is>
      </c>
      <c r="H54" s="2">
        <f>COUNTIF($C$2:$C$149,C54)</f>
        <v/>
      </c>
      <c r="I54" s="2">
        <f>IF(COUNTIF($C$2:C54,C54)&gt;1,"Sim","Não")</f>
        <v/>
      </c>
      <c r="J54" s="2">
        <f>INDEX('3_Curadoria'!$F$2:$F$109,MATCH(C54,'3_Curadoria'!$B$2:$B$109,0))</f>
        <v/>
      </c>
      <c r="K54" s="2">
        <f>INDEX('3_Curadoria'!$H$2:$H$109,MATCH(C54,'3_Curadoria'!$B$2:$B$109,0))</f>
        <v/>
      </c>
    </row>
    <row r="55">
      <c r="A55" s="37" t="n">
        <v>54</v>
      </c>
      <c r="B55" s="5" t="inlineStr">
        <is>
          <t>HYPOXANTHINE</t>
        </is>
      </c>
      <c r="C55" s="5" t="inlineStr">
        <is>
          <t>Hypoxanthine</t>
        </is>
      </c>
      <c r="D55" s="37" t="inlineStr">
        <is>
          <t>Não informada</t>
        </is>
      </c>
      <c r="E55" s="37" t="inlineStr"/>
      <c r="F55" s="37" t="inlineStr">
        <is>
          <t>Não informada</t>
        </is>
      </c>
      <c r="G55" s="5" t="inlineStr">
        <is>
          <t>caixa alta inconsistente</t>
        </is>
      </c>
      <c r="H55" s="2">
        <f>COUNTIF($C$2:$C$149,C55)</f>
        <v/>
      </c>
      <c r="I55" s="2">
        <f>IF(COUNTIF($C$2:C55,C55)&gt;1,"Sim","Não")</f>
        <v/>
      </c>
      <c r="J55" s="2">
        <f>INDEX('3_Curadoria'!$F$2:$F$109,MATCH(C55,'3_Curadoria'!$B$2:$B$109,0))</f>
        <v/>
      </c>
      <c r="K55" s="2">
        <f>INDEX('3_Curadoria'!$H$2:$H$109,MATCH(C55,'3_Curadoria'!$B$2:$B$109,0))</f>
        <v/>
      </c>
    </row>
    <row r="56">
      <c r="A56" s="37" t="n">
        <v>55</v>
      </c>
      <c r="B56" s="5" t="inlineStr">
        <is>
          <t>INDOLEACETIC ACID</t>
        </is>
      </c>
      <c r="C56" s="5" t="inlineStr">
        <is>
          <t>Indole-3-acetic acid</t>
        </is>
      </c>
      <c r="D56" s="37" t="inlineStr">
        <is>
          <t>Não informada</t>
        </is>
      </c>
      <c r="E56" s="37" t="inlineStr"/>
      <c r="F56" s="37" t="inlineStr">
        <is>
          <t>Não informada</t>
        </is>
      </c>
      <c r="G56" s="5" t="inlineStr">
        <is>
          <t>caixa alta inconsistente</t>
        </is>
      </c>
      <c r="H56" s="2">
        <f>COUNTIF($C$2:$C$149,C56)</f>
        <v/>
      </c>
      <c r="I56" s="2">
        <f>IF(COUNTIF($C$2:C56,C56)&gt;1,"Sim","Não")</f>
        <v/>
      </c>
      <c r="J56" s="2">
        <f>INDEX('3_Curadoria'!$F$2:$F$109,MATCH(C56,'3_Curadoria'!$B$2:$B$109,0))</f>
        <v/>
      </c>
      <c r="K56" s="2">
        <f>INDEX('3_Curadoria'!$H$2:$H$109,MATCH(C56,'3_Curadoria'!$B$2:$B$109,0))</f>
        <v/>
      </c>
    </row>
    <row r="57">
      <c r="A57" s="37" t="n">
        <v>56</v>
      </c>
      <c r="B57" s="5" t="inlineStr">
        <is>
          <t>INDOLEACRYLIC ACID</t>
        </is>
      </c>
      <c r="C57" s="5" t="inlineStr">
        <is>
          <t>3-Indoleacrylic acid</t>
        </is>
      </c>
      <c r="D57" s="37" t="inlineStr">
        <is>
          <t>Não informada</t>
        </is>
      </c>
      <c r="E57" s="37" t="inlineStr"/>
      <c r="F57" s="37" t="inlineStr">
        <is>
          <t>Não informada</t>
        </is>
      </c>
      <c r="G57" s="5" t="inlineStr">
        <is>
          <t>caixa alta inconsistente</t>
        </is>
      </c>
      <c r="H57" s="2">
        <f>COUNTIF($C$2:$C$149,C57)</f>
        <v/>
      </c>
      <c r="I57" s="2">
        <f>IF(COUNTIF($C$2:C57,C57)&gt;1,"Sim","Não")</f>
        <v/>
      </c>
      <c r="J57" s="2">
        <f>INDEX('3_Curadoria'!$F$2:$F$109,MATCH(C57,'3_Curadoria'!$B$2:$B$109,0))</f>
        <v/>
      </c>
      <c r="K57" s="2">
        <f>INDEX('3_Curadoria'!$H$2:$H$109,MATCH(C57,'3_Curadoria'!$B$2:$B$109,0))</f>
        <v/>
      </c>
    </row>
    <row r="58">
      <c r="A58" s="37" t="n">
        <v>57</v>
      </c>
      <c r="B58" s="5" t="inlineStr">
        <is>
          <t>ISOLEUCINE</t>
        </is>
      </c>
      <c r="C58" s="5" t="inlineStr">
        <is>
          <t>Isoleucine</t>
        </is>
      </c>
      <c r="D58" s="37" t="inlineStr">
        <is>
          <t>Não informada</t>
        </is>
      </c>
      <c r="E58" s="37" t="inlineStr"/>
      <c r="F58" s="37" t="inlineStr">
        <is>
          <t>Não informada</t>
        </is>
      </c>
      <c r="G58" s="5" t="inlineStr">
        <is>
          <t>caixa alta inconsistente</t>
        </is>
      </c>
      <c r="H58" s="2">
        <f>COUNTIF($C$2:$C$149,C58)</f>
        <v/>
      </c>
      <c r="I58" s="2">
        <f>IF(COUNTIF($C$2:C58,C58)&gt;1,"Sim","Não")</f>
        <v/>
      </c>
      <c r="J58" s="2">
        <f>INDEX('3_Curadoria'!$F$2:$F$109,MATCH(C58,'3_Curadoria'!$B$2:$B$109,0))</f>
        <v/>
      </c>
      <c r="K58" s="2">
        <f>INDEX('3_Curadoria'!$H$2:$H$109,MATCH(C58,'3_Curadoria'!$B$2:$B$109,0))</f>
        <v/>
      </c>
    </row>
    <row r="59">
      <c r="A59" s="37" t="n">
        <v>58</v>
      </c>
      <c r="B59" s="5" t="inlineStr">
        <is>
          <t>ISOLEUCINE - 20.0 eV</t>
        </is>
      </c>
      <c r="C59" s="5" t="inlineStr">
        <is>
          <t>Isoleucine</t>
        </is>
      </c>
      <c r="D59" s="37" t="inlineStr">
        <is>
          <t>Não informada</t>
        </is>
      </c>
      <c r="E59" s="37" t="inlineStr"/>
      <c r="F59" s="37" t="inlineStr">
        <is>
          <t>20 eV</t>
        </is>
      </c>
      <c r="G59" s="5" t="inlineStr">
        <is>
          <t>energia de colisão embutida no nome; caixa alta inconsistente</t>
        </is>
      </c>
      <c r="H59" s="2">
        <f>COUNTIF($C$2:$C$149,C59)</f>
        <v/>
      </c>
      <c r="I59" s="2">
        <f>IF(COUNTIF($C$2:C59,C59)&gt;1,"Sim","Não")</f>
        <v/>
      </c>
      <c r="J59" s="2">
        <f>INDEX('3_Curadoria'!$F$2:$F$109,MATCH(C59,'3_Curadoria'!$B$2:$B$109,0))</f>
        <v/>
      </c>
      <c r="K59" s="2">
        <f>INDEX('3_Curadoria'!$H$2:$H$109,MATCH(C59,'3_Curadoria'!$B$2:$B$109,0))</f>
        <v/>
      </c>
    </row>
    <row r="60">
      <c r="A60" s="37" t="n">
        <v>59</v>
      </c>
      <c r="B60" s="5" t="inlineStr">
        <is>
          <t>ISOLEUCINE - 30.0 eV</t>
        </is>
      </c>
      <c r="C60" s="5" t="inlineStr">
        <is>
          <t>Isoleucine</t>
        </is>
      </c>
      <c r="D60" s="37" t="inlineStr">
        <is>
          <t>Não informada</t>
        </is>
      </c>
      <c r="E60" s="37" t="inlineStr"/>
      <c r="F60" s="37" t="inlineStr">
        <is>
          <t>30 eV</t>
        </is>
      </c>
      <c r="G60" s="5" t="inlineStr">
        <is>
          <t>energia de colisão embutida no nome; caixa alta inconsistente</t>
        </is>
      </c>
      <c r="H60" s="2">
        <f>COUNTIF($C$2:$C$149,C60)</f>
        <v/>
      </c>
      <c r="I60" s="2">
        <f>IF(COUNTIF($C$2:C60,C60)&gt;1,"Sim","Não")</f>
        <v/>
      </c>
      <c r="J60" s="2">
        <f>INDEX('3_Curadoria'!$F$2:$F$109,MATCH(C60,'3_Curadoria'!$B$2:$B$109,0))</f>
        <v/>
      </c>
      <c r="K60" s="2">
        <f>INDEX('3_Curadoria'!$H$2:$H$109,MATCH(C60,'3_Curadoria'!$B$2:$B$109,0))</f>
        <v/>
      </c>
    </row>
    <row r="61">
      <c r="A61" s="37" t="n">
        <v>60</v>
      </c>
      <c r="B61" s="5" t="inlineStr">
        <is>
          <t>Isovaleric acid</t>
        </is>
      </c>
      <c r="C61" s="5" t="inlineStr">
        <is>
          <t>Isovaleric acid</t>
        </is>
      </c>
      <c r="D61" s="37" t="inlineStr">
        <is>
          <t>Não informada</t>
        </is>
      </c>
      <c r="E61" s="37" t="inlineStr"/>
      <c r="F61" s="37" t="inlineStr">
        <is>
          <t>Não informada</t>
        </is>
      </c>
      <c r="G61" s="5" t="inlineStr">
        <is>
          <t>—</t>
        </is>
      </c>
      <c r="H61" s="2">
        <f>COUNTIF($C$2:$C$149,C61)</f>
        <v/>
      </c>
      <c r="I61" s="2">
        <f>IF(COUNTIF($C$2:C61,C61)&gt;1,"Sim","Não")</f>
        <v/>
      </c>
      <c r="J61" s="2">
        <f>INDEX('3_Curadoria'!$F$2:$F$109,MATCH(C61,'3_Curadoria'!$B$2:$B$109,0))</f>
        <v/>
      </c>
      <c r="K61" s="2">
        <f>INDEX('3_Curadoria'!$H$2:$H$109,MATCH(C61,'3_Curadoria'!$B$2:$B$109,0))</f>
        <v/>
      </c>
    </row>
    <row r="62">
      <c r="A62" s="37" t="n">
        <v>61</v>
      </c>
      <c r="B62" s="5" t="inlineStr">
        <is>
          <t>jasmonic acid methyl ester CollisionEnergy:205060</t>
        </is>
      </c>
      <c r="C62" s="5" t="inlineStr">
        <is>
          <t>Methyl jasmonate</t>
        </is>
      </c>
      <c r="D62" s="37" t="inlineStr">
        <is>
          <t>Não informada</t>
        </is>
      </c>
      <c r="E62" s="37" t="inlineStr"/>
      <c r="F62" s="37" t="inlineStr">
        <is>
          <t>20/50/60 (escalonada)</t>
        </is>
      </c>
      <c r="G62" s="5" t="inlineStr">
        <is>
          <t>energia de colisão embutida no nome</t>
        </is>
      </c>
      <c r="H62" s="2">
        <f>COUNTIF($C$2:$C$149,C62)</f>
        <v/>
      </c>
      <c r="I62" s="2">
        <f>IF(COUNTIF($C$2:C62,C62)&gt;1,"Sim","Não")</f>
        <v/>
      </c>
      <c r="J62" s="2">
        <f>INDEX('3_Curadoria'!$F$2:$F$109,MATCH(C62,'3_Curadoria'!$B$2:$B$109,0))</f>
        <v/>
      </c>
      <c r="K62" s="2">
        <f>INDEX('3_Curadoria'!$H$2:$H$109,MATCH(C62,'3_Curadoria'!$B$2:$B$109,0))</f>
        <v/>
      </c>
    </row>
    <row r="63">
      <c r="A63" s="37" t="n">
        <v>62</v>
      </c>
      <c r="B63" s="5" t="inlineStr">
        <is>
          <t>kynurenic acid CollisionEnergy:205060</t>
        </is>
      </c>
      <c r="C63" s="5" t="inlineStr">
        <is>
          <t>Kynurenic acid</t>
        </is>
      </c>
      <c r="D63" s="37" t="inlineStr">
        <is>
          <t>Não informada</t>
        </is>
      </c>
      <c r="E63" s="37" t="inlineStr"/>
      <c r="F63" s="37" t="inlineStr">
        <is>
          <t>20/50/60 (escalonada)</t>
        </is>
      </c>
      <c r="G63" s="5" t="inlineStr">
        <is>
          <t>energia de colisão embutida no nome</t>
        </is>
      </c>
      <c r="H63" s="2">
        <f>COUNTIF($C$2:$C$149,C63)</f>
        <v/>
      </c>
      <c r="I63" s="2">
        <f>IF(COUNTIF($C$2:C63,C63)&gt;1,"Sim","Não")</f>
        <v/>
      </c>
      <c r="J63" s="2">
        <f>INDEX('3_Curadoria'!$F$2:$F$109,MATCH(C63,'3_Curadoria'!$B$2:$B$109,0))</f>
        <v/>
      </c>
      <c r="K63" s="2">
        <f>INDEX('3_Curadoria'!$H$2:$H$109,MATCH(C63,'3_Curadoria'!$B$2:$B$109,0))</f>
        <v/>
      </c>
    </row>
    <row r="64">
      <c r="A64" s="37" t="n">
        <v>63</v>
      </c>
      <c r="B64" s="5" t="inlineStr">
        <is>
          <t>LEUCINE</t>
        </is>
      </c>
      <c r="C64" s="5" t="inlineStr">
        <is>
          <t>Leucine</t>
        </is>
      </c>
      <c r="D64" s="37" t="inlineStr">
        <is>
          <t>Não informada</t>
        </is>
      </c>
      <c r="E64" s="37" t="inlineStr"/>
      <c r="F64" s="37" t="inlineStr">
        <is>
          <t>Não informada</t>
        </is>
      </c>
      <c r="G64" s="5" t="inlineStr">
        <is>
          <t>caixa alta inconsistente</t>
        </is>
      </c>
      <c r="H64" s="2">
        <f>COUNTIF($C$2:$C$149,C64)</f>
        <v/>
      </c>
      <c r="I64" s="2">
        <f>IF(COUNTIF($C$2:C64,C64)&gt;1,"Sim","Não")</f>
        <v/>
      </c>
      <c r="J64" s="2">
        <f>INDEX('3_Curadoria'!$F$2:$F$109,MATCH(C64,'3_Curadoria'!$B$2:$B$109,0))</f>
        <v/>
      </c>
      <c r="K64" s="2">
        <f>INDEX('3_Curadoria'!$H$2:$H$109,MATCH(C64,'3_Curadoria'!$B$2:$B$109,0))</f>
        <v/>
      </c>
    </row>
    <row r="65">
      <c r="A65" s="37" t="n">
        <v>64</v>
      </c>
      <c r="B65" s="5" t="inlineStr">
        <is>
          <t>Leucine - 20.00 eV</t>
        </is>
      </c>
      <c r="C65" s="5" t="inlineStr">
        <is>
          <t>Leucine</t>
        </is>
      </c>
      <c r="D65" s="37" t="inlineStr">
        <is>
          <t>Não informada</t>
        </is>
      </c>
      <c r="E65" s="37" t="inlineStr"/>
      <c r="F65" s="37" t="inlineStr">
        <is>
          <t>20 eV</t>
        </is>
      </c>
      <c r="G65" s="5" t="inlineStr">
        <is>
          <t>energia de colisão embutida no nome</t>
        </is>
      </c>
      <c r="H65" s="2">
        <f>COUNTIF($C$2:$C$149,C65)</f>
        <v/>
      </c>
      <c r="I65" s="2">
        <f>IF(COUNTIF($C$2:C65,C65)&gt;1,"Sim","Não")</f>
        <v/>
      </c>
      <c r="J65" s="2">
        <f>INDEX('3_Curadoria'!$F$2:$F$109,MATCH(C65,'3_Curadoria'!$B$2:$B$109,0))</f>
        <v/>
      </c>
      <c r="K65" s="2">
        <f>INDEX('3_Curadoria'!$H$2:$H$109,MATCH(C65,'3_Curadoria'!$B$2:$B$109,0))</f>
        <v/>
      </c>
    </row>
    <row r="66">
      <c r="A66" s="37" t="n">
        <v>65</v>
      </c>
      <c r="B66" s="5" t="inlineStr">
        <is>
          <t>LEUCINE - 20.00 eV</t>
        </is>
      </c>
      <c r="C66" s="5" t="inlineStr">
        <is>
          <t>Leucine</t>
        </is>
      </c>
      <c r="D66" s="37" t="inlineStr">
        <is>
          <t>Não informada</t>
        </is>
      </c>
      <c r="E66" s="37" t="inlineStr"/>
      <c r="F66" s="37" t="inlineStr">
        <is>
          <t>20 eV</t>
        </is>
      </c>
      <c r="G66" s="5" t="inlineStr">
        <is>
          <t>energia de colisão embutida no nome; caixa alta inconsistente</t>
        </is>
      </c>
      <c r="H66" s="2">
        <f>COUNTIF($C$2:$C$149,C66)</f>
        <v/>
      </c>
      <c r="I66" s="2">
        <f>IF(COUNTIF($C$2:C66,C66)&gt;1,"Sim","Não")</f>
        <v/>
      </c>
      <c r="J66" s="2">
        <f>INDEX('3_Curadoria'!$F$2:$F$109,MATCH(C66,'3_Curadoria'!$B$2:$B$109,0))</f>
        <v/>
      </c>
      <c r="K66" s="2">
        <f>INDEX('3_Curadoria'!$H$2:$H$109,MATCH(C66,'3_Curadoria'!$B$2:$B$109,0))</f>
        <v/>
      </c>
    </row>
    <row r="67">
      <c r="A67" s="37" t="n">
        <v>66</v>
      </c>
      <c r="B67" s="5" t="inlineStr">
        <is>
          <t>LEUCINE - 30.00 eV</t>
        </is>
      </c>
      <c r="C67" s="5" t="inlineStr">
        <is>
          <t>Leucine</t>
        </is>
      </c>
      <c r="D67" s="37" t="inlineStr">
        <is>
          <t>Não informada</t>
        </is>
      </c>
      <c r="E67" s="37" t="inlineStr"/>
      <c r="F67" s="37" t="inlineStr">
        <is>
          <t>30 eV</t>
        </is>
      </c>
      <c r="G67" s="5" t="inlineStr">
        <is>
          <t>energia de colisão embutida no nome; caixa alta inconsistente</t>
        </is>
      </c>
      <c r="H67" s="2">
        <f>COUNTIF($C$2:$C$149,C67)</f>
        <v/>
      </c>
      <c r="I67" s="2">
        <f>IF(COUNTIF($C$2:C67,C67)&gt;1,"Sim","Não")</f>
        <v/>
      </c>
      <c r="J67" s="2">
        <f>INDEX('3_Curadoria'!$F$2:$F$109,MATCH(C67,'3_Curadoria'!$B$2:$B$109,0))</f>
        <v/>
      </c>
      <c r="K67" s="2">
        <f>INDEX('3_Curadoria'!$H$2:$H$109,MATCH(C67,'3_Curadoria'!$B$2:$B$109,0))</f>
        <v/>
      </c>
    </row>
    <row r="68">
      <c r="A68" s="37" t="n">
        <v>67</v>
      </c>
      <c r="B68" s="5" t="inlineStr">
        <is>
          <t>Leucine - 60.00 eV</t>
        </is>
      </c>
      <c r="C68" s="5" t="inlineStr">
        <is>
          <t>Leucine</t>
        </is>
      </c>
      <c r="D68" s="37" t="inlineStr">
        <is>
          <t>Não informada</t>
        </is>
      </c>
      <c r="E68" s="37" t="inlineStr"/>
      <c r="F68" s="37" t="inlineStr">
        <is>
          <t>60 eV</t>
        </is>
      </c>
      <c r="G68" s="5" t="inlineStr">
        <is>
          <t>energia de colisão embutida no nome</t>
        </is>
      </c>
      <c r="H68" s="2">
        <f>COUNTIF($C$2:$C$149,C68)</f>
        <v/>
      </c>
      <c r="I68" s="2">
        <f>IF(COUNTIF($C$2:C68,C68)&gt;1,"Sim","Não")</f>
        <v/>
      </c>
      <c r="J68" s="2">
        <f>INDEX('3_Curadoria'!$F$2:$F$109,MATCH(C68,'3_Curadoria'!$B$2:$B$109,0))</f>
        <v/>
      </c>
      <c r="K68" s="2">
        <f>INDEX('3_Curadoria'!$H$2:$H$109,MATCH(C68,'3_Curadoria'!$B$2:$B$109,0))</f>
        <v/>
      </c>
    </row>
    <row r="69">
      <c r="A69" s="37" t="n">
        <v>68</v>
      </c>
      <c r="B69" s="5" t="inlineStr">
        <is>
          <t>LEUCINE - 60.00 eV</t>
        </is>
      </c>
      <c r="C69" s="5" t="inlineStr">
        <is>
          <t>Leucine</t>
        </is>
      </c>
      <c r="D69" s="37" t="inlineStr">
        <is>
          <t>Não informada</t>
        </is>
      </c>
      <c r="E69" s="37" t="inlineStr"/>
      <c r="F69" s="37" t="inlineStr">
        <is>
          <t>60 eV</t>
        </is>
      </c>
      <c r="G69" s="5" t="inlineStr">
        <is>
          <t>energia de colisão embutida no nome; caixa alta inconsistente</t>
        </is>
      </c>
      <c r="H69" s="2">
        <f>COUNTIF($C$2:$C$149,C69)</f>
        <v/>
      </c>
      <c r="I69" s="2">
        <f>IF(COUNTIF($C$2:C69,C69)&gt;1,"Sim","Não")</f>
        <v/>
      </c>
      <c r="J69" s="2">
        <f>INDEX('3_Curadoria'!$F$2:$F$109,MATCH(C69,'3_Curadoria'!$B$2:$B$109,0))</f>
        <v/>
      </c>
      <c r="K69" s="2">
        <f>INDEX('3_Curadoria'!$H$2:$H$109,MATCH(C69,'3_Curadoria'!$B$2:$B$109,0))</f>
        <v/>
      </c>
    </row>
    <row r="70">
      <c r="A70" s="37" t="n">
        <v>69</v>
      </c>
      <c r="B70" s="5" t="inlineStr">
        <is>
          <t>Lichesterylic acid</t>
        </is>
      </c>
      <c r="C70" s="5" t="inlineStr">
        <is>
          <t>Lichesterylic acid</t>
        </is>
      </c>
      <c r="D70" s="37" t="inlineStr">
        <is>
          <t>Não informada</t>
        </is>
      </c>
      <c r="E70" s="37" t="inlineStr"/>
      <c r="F70" s="37" t="inlineStr">
        <is>
          <t>Não informada</t>
        </is>
      </c>
      <c r="G70" s="5" t="inlineStr">
        <is>
          <t>—</t>
        </is>
      </c>
      <c r="H70" s="2">
        <f>COUNTIF($C$2:$C$149,C70)</f>
        <v/>
      </c>
      <c r="I70" s="2">
        <f>IF(COUNTIF($C$2:C70,C70)&gt;1,"Sim","Não")</f>
        <v/>
      </c>
      <c r="J70" s="2">
        <f>INDEX('3_Curadoria'!$F$2:$F$109,MATCH(C70,'3_Curadoria'!$B$2:$B$109,0))</f>
        <v/>
      </c>
      <c r="K70" s="2">
        <f>INDEX('3_Curadoria'!$H$2:$H$109,MATCH(C70,'3_Curadoria'!$B$2:$B$109,0))</f>
        <v/>
      </c>
    </row>
    <row r="71">
      <c r="A71" s="37" t="n">
        <v>70</v>
      </c>
      <c r="B71" s="5" t="inlineStr">
        <is>
          <t>L-(+)-Isoleucine - 40.0 eV</t>
        </is>
      </c>
      <c r="C71" s="5" t="inlineStr">
        <is>
          <t>Isoleucine</t>
        </is>
      </c>
      <c r="D71" s="37" t="inlineStr">
        <is>
          <t>Não informada</t>
        </is>
      </c>
      <c r="E71" s="37" t="inlineStr"/>
      <c r="F71" s="37" t="inlineStr">
        <is>
          <t>40 eV</t>
        </is>
      </c>
      <c r="G71" s="5" t="inlineStr">
        <is>
          <t>energia de colisão embutida no nome</t>
        </is>
      </c>
      <c r="H71" s="2">
        <f>COUNTIF($C$2:$C$149,C71)</f>
        <v/>
      </c>
      <c r="I71" s="2">
        <f>IF(COUNTIF($C$2:C71,C71)&gt;1,"Sim","Não")</f>
        <v/>
      </c>
      <c r="J71" s="2">
        <f>INDEX('3_Curadoria'!$F$2:$F$109,MATCH(C71,'3_Curadoria'!$B$2:$B$109,0))</f>
        <v/>
      </c>
      <c r="K71" s="2">
        <f>INDEX('3_Curadoria'!$H$2:$H$109,MATCH(C71,'3_Curadoria'!$B$2:$B$109,0))</f>
        <v/>
      </c>
    </row>
    <row r="72">
      <c r="A72" s="37" t="n">
        <v>71</v>
      </c>
      <c r="B72" s="5" t="inlineStr">
        <is>
          <t>L-leucine</t>
        </is>
      </c>
      <c r="C72" s="5" t="inlineStr">
        <is>
          <t>Leucine</t>
        </is>
      </c>
      <c r="D72" s="37" t="inlineStr">
        <is>
          <t>Não informada</t>
        </is>
      </c>
      <c r="E72" s="37" t="inlineStr"/>
      <c r="F72" s="37" t="inlineStr">
        <is>
          <t>Não informada</t>
        </is>
      </c>
      <c r="G72" s="5" t="inlineStr">
        <is>
          <t>—</t>
        </is>
      </c>
      <c r="H72" s="2">
        <f>COUNTIF($C$2:$C$149,C72)</f>
        <v/>
      </c>
      <c r="I72" s="2">
        <f>IF(COUNTIF($C$2:C72,C72)&gt;1,"Sim","Não")</f>
        <v/>
      </c>
      <c r="J72" s="2">
        <f>INDEX('3_Curadoria'!$F$2:$F$109,MATCH(C72,'3_Curadoria'!$B$2:$B$109,0))</f>
        <v/>
      </c>
      <c r="K72" s="2">
        <f>INDEX('3_Curadoria'!$H$2:$H$109,MATCH(C72,'3_Curadoria'!$B$2:$B$109,0))</f>
        <v/>
      </c>
    </row>
    <row r="73">
      <c r="A73" s="37" t="n">
        <v>72</v>
      </c>
      <c r="B73" s="5" t="inlineStr">
        <is>
          <t>L-(+)-norleucine - 40.0 eV</t>
        </is>
      </c>
      <c r="C73" s="5" t="inlineStr">
        <is>
          <t>Norleucine</t>
        </is>
      </c>
      <c r="D73" s="37" t="inlineStr">
        <is>
          <t>Não informada</t>
        </is>
      </c>
      <c r="E73" s="37" t="inlineStr"/>
      <c r="F73" s="37" t="inlineStr">
        <is>
          <t>40 eV</t>
        </is>
      </c>
      <c r="G73" s="5" t="inlineStr">
        <is>
          <t>energia de colisão embutida no nome</t>
        </is>
      </c>
      <c r="H73" s="2">
        <f>COUNTIF($C$2:$C$149,C73)</f>
        <v/>
      </c>
      <c r="I73" s="2">
        <f>IF(COUNTIF($C$2:C73,C73)&gt;1,"Sim","Não")</f>
        <v/>
      </c>
      <c r="J73" s="2">
        <f>INDEX('3_Curadoria'!$F$2:$F$109,MATCH(C73,'3_Curadoria'!$B$2:$B$109,0))</f>
        <v/>
      </c>
      <c r="K73" s="2">
        <f>INDEX('3_Curadoria'!$H$2:$H$109,MATCH(C73,'3_Curadoria'!$B$2:$B$109,0))</f>
        <v/>
      </c>
    </row>
    <row r="74">
      <c r="A74" s="37" t="n">
        <v>73</v>
      </c>
      <c r="B74" s="5" t="inlineStr">
        <is>
          <t>Loliolide</t>
        </is>
      </c>
      <c r="C74" s="5" t="inlineStr">
        <is>
          <t>Loliolide</t>
        </is>
      </c>
      <c r="D74" s="37" t="inlineStr">
        <is>
          <t>Não informada</t>
        </is>
      </c>
      <c r="E74" s="37" t="inlineStr"/>
      <c r="F74" s="37" t="inlineStr">
        <is>
          <t>Não informada</t>
        </is>
      </c>
      <c r="G74" s="5" t="inlineStr">
        <is>
          <t>—</t>
        </is>
      </c>
      <c r="H74" s="2">
        <f>COUNTIF($C$2:$C$149,C74)</f>
        <v/>
      </c>
      <c r="I74" s="2">
        <f>IF(COUNTIF($C$2:C74,C74)&gt;1,"Sim","Não")</f>
        <v/>
      </c>
      <c r="J74" s="2">
        <f>INDEX('3_Curadoria'!$F$2:$F$109,MATCH(C74,'3_Curadoria'!$B$2:$B$109,0))</f>
        <v/>
      </c>
      <c r="K74" s="2">
        <f>INDEX('3_Curadoria'!$H$2:$H$109,MATCH(C74,'3_Curadoria'!$B$2:$B$109,0))</f>
        <v/>
      </c>
    </row>
    <row r="75">
      <c r="A75" s="37" t="n">
        <v>74</v>
      </c>
      <c r="B75" s="5" t="inlineStr">
        <is>
          <t>lydicamycin derivative: TPU-0037C</t>
        </is>
      </c>
      <c r="C75" s="5" t="inlineStr">
        <is>
          <t>Lydicamycin derivative (TPU-0037C)</t>
        </is>
      </c>
      <c r="D75" s="37" t="inlineStr">
        <is>
          <t>Não informada</t>
        </is>
      </c>
      <c r="E75" s="37" t="inlineStr"/>
      <c r="F75" s="37" t="inlineStr">
        <is>
          <t>Não informada</t>
        </is>
      </c>
      <c r="G75" s="5" t="inlineStr">
        <is>
          <t>—</t>
        </is>
      </c>
      <c r="H75" s="2">
        <f>COUNTIF($C$2:$C$149,C75)</f>
        <v/>
      </c>
      <c r="I75" s="2">
        <f>IF(COUNTIF($C$2:C75,C75)&gt;1,"Sim","Não")</f>
        <v/>
      </c>
      <c r="J75" s="2">
        <f>INDEX('3_Curadoria'!$F$2:$F$109,MATCH(C75,'3_Curadoria'!$B$2:$B$109,0))</f>
        <v/>
      </c>
      <c r="K75" s="2">
        <f>INDEX('3_Curadoria'!$H$2:$H$109,MATCH(C75,'3_Curadoria'!$B$2:$B$109,0))</f>
        <v/>
      </c>
    </row>
    <row r="76">
      <c r="A76" s="37" t="n">
        <v>75</v>
      </c>
      <c r="B76" s="5" t="inlineStr">
        <is>
          <t>MANNOSE</t>
        </is>
      </c>
      <c r="C76" s="5" t="inlineStr">
        <is>
          <t>Mannose</t>
        </is>
      </c>
      <c r="D76" s="37" t="inlineStr">
        <is>
          <t>Não informada</t>
        </is>
      </c>
      <c r="E76" s="37" t="inlineStr"/>
      <c r="F76" s="37" t="inlineStr">
        <is>
          <t>Não informada</t>
        </is>
      </c>
      <c r="G76" s="5" t="inlineStr">
        <is>
          <t>caixa alta inconsistente</t>
        </is>
      </c>
      <c r="H76" s="2">
        <f>COUNTIF($C$2:$C$149,C76)</f>
        <v/>
      </c>
      <c r="I76" s="2">
        <f>IF(COUNTIF($C$2:C76,C76)&gt;1,"Sim","Não")</f>
        <v/>
      </c>
      <c r="J76" s="2">
        <f>INDEX('3_Curadoria'!$F$2:$F$109,MATCH(C76,'3_Curadoria'!$B$2:$B$109,0))</f>
        <v/>
      </c>
      <c r="K76" s="2">
        <f>INDEX('3_Curadoria'!$H$2:$H$109,MATCH(C76,'3_Curadoria'!$B$2:$B$109,0))</f>
        <v/>
      </c>
    </row>
    <row r="77">
      <c r="A77" s="37" t="n">
        <v>76</v>
      </c>
      <c r="B77" s="5" t="inlineStr">
        <is>
          <t>Massbank:AU252106 4-Hydroxy-1-(2-hydroxyethyl)-2,2,6,6-tetramethylpiperidine|1-Piperidineethanol, 4-hydroxy-2,2,6,6-tetramethyl-|1-(2-hydroxyethyl)-2,2,6,6-tetramethylpiperidin-4-ol</t>
        </is>
      </c>
      <c r="C77" s="5" t="inlineStr">
        <is>
          <t>1-(2-Hydroxyethyl)-2,2,6,6-tetramethyl-4-piperidinol</t>
        </is>
      </c>
      <c r="D77" s="37" t="inlineStr">
        <is>
          <t>MassBank</t>
        </is>
      </c>
      <c r="E77" s="37" t="inlineStr">
        <is>
          <t>AU252106</t>
        </is>
      </c>
      <c r="F77" s="37" t="inlineStr">
        <is>
          <t>Não informada</t>
        </is>
      </c>
      <c r="G77" s="5" t="inlineStr">
        <is>
          <t>ID do banco embutido no nome; sinônimos concatenados com '|'</t>
        </is>
      </c>
      <c r="H77" s="2">
        <f>COUNTIF($C$2:$C$149,C77)</f>
        <v/>
      </c>
      <c r="I77" s="2">
        <f>IF(COUNTIF($C$2:C77,C77)&gt;1,"Sim","Não")</f>
        <v/>
      </c>
      <c r="J77" s="2">
        <f>INDEX('3_Curadoria'!$F$2:$F$109,MATCH(C77,'3_Curadoria'!$B$2:$B$109,0))</f>
        <v/>
      </c>
      <c r="K77" s="2">
        <f>INDEX('3_Curadoria'!$H$2:$H$109,MATCH(C77,'3_Curadoria'!$B$2:$B$109,0))</f>
        <v/>
      </c>
    </row>
    <row r="78">
      <c r="A78" s="37" t="n">
        <v>77</v>
      </c>
      <c r="B78" s="5" t="inlineStr">
        <is>
          <t>Massbank:EA021311 DEET|N,N-Diethyl-m-toluamide|N,N-diethyl-3-methyl-benzamide</t>
        </is>
      </c>
      <c r="C78" s="5" t="inlineStr">
        <is>
          <t>DEET</t>
        </is>
      </c>
      <c r="D78" s="37" t="inlineStr">
        <is>
          <t>MassBank</t>
        </is>
      </c>
      <c r="E78" s="37" t="inlineStr">
        <is>
          <t>EA021311</t>
        </is>
      </c>
      <c r="F78" s="37" t="inlineStr">
        <is>
          <t>Não informada</t>
        </is>
      </c>
      <c r="G78" s="5" t="inlineStr">
        <is>
          <t>ID do banco embutido no nome; sinônimos concatenados com '|'</t>
        </is>
      </c>
      <c r="H78" s="2">
        <f>COUNTIF($C$2:$C$149,C78)</f>
        <v/>
      </c>
      <c r="I78" s="2">
        <f>IF(COUNTIF($C$2:C78,C78)&gt;1,"Sim","Não")</f>
        <v/>
      </c>
      <c r="J78" s="2">
        <f>INDEX('3_Curadoria'!$F$2:$F$109,MATCH(C78,'3_Curadoria'!$B$2:$B$109,0))</f>
        <v/>
      </c>
      <c r="K78" s="2">
        <f>INDEX('3_Curadoria'!$H$2:$H$109,MATCH(C78,'3_Curadoria'!$B$2:$B$109,0))</f>
        <v/>
      </c>
    </row>
    <row r="79">
      <c r="A79" s="37" t="n">
        <v>78</v>
      </c>
      <c r="B79" s="5" t="inlineStr">
        <is>
          <t>Massbank:EQ309203 Diphenylamine|N-phenylaniline</t>
        </is>
      </c>
      <c r="C79" s="5" t="inlineStr">
        <is>
          <t>Diphenylamine</t>
        </is>
      </c>
      <c r="D79" s="37" t="inlineStr">
        <is>
          <t>MassBank</t>
        </is>
      </c>
      <c r="E79" s="37" t="inlineStr">
        <is>
          <t>EQ309203</t>
        </is>
      </c>
      <c r="F79" s="37" t="inlineStr">
        <is>
          <t>Não informada</t>
        </is>
      </c>
      <c r="G79" s="5" t="inlineStr">
        <is>
          <t>ID do banco embutido no nome; sinônimos concatenados com '|'</t>
        </is>
      </c>
      <c r="H79" s="2">
        <f>COUNTIF($C$2:$C$149,C79)</f>
        <v/>
      </c>
      <c r="I79" s="2">
        <f>IF(COUNTIF($C$2:C79,C79)&gt;1,"Sim","Não")</f>
        <v/>
      </c>
      <c r="J79" s="2">
        <f>INDEX('3_Curadoria'!$F$2:$F$109,MATCH(C79,'3_Curadoria'!$B$2:$B$109,0))</f>
        <v/>
      </c>
      <c r="K79" s="2">
        <f>INDEX('3_Curadoria'!$H$2:$H$109,MATCH(C79,'3_Curadoria'!$B$2:$B$109,0))</f>
        <v/>
      </c>
    </row>
    <row r="80">
      <c r="A80" s="37" t="n">
        <v>79</v>
      </c>
      <c r="B80" s="5" t="inlineStr">
        <is>
          <t>Massbank:EQ309204 Diphenylamine|N-phenylaniline</t>
        </is>
      </c>
      <c r="C80" s="5" t="inlineStr">
        <is>
          <t>Diphenylamine</t>
        </is>
      </c>
      <c r="D80" s="37" t="inlineStr">
        <is>
          <t>MassBank</t>
        </is>
      </c>
      <c r="E80" s="37" t="inlineStr">
        <is>
          <t>EQ309204</t>
        </is>
      </c>
      <c r="F80" s="37" t="inlineStr">
        <is>
          <t>Não informada</t>
        </is>
      </c>
      <c r="G80" s="5" t="inlineStr">
        <is>
          <t>ID do banco embutido no nome; sinônimos concatenados com '|'</t>
        </is>
      </c>
      <c r="H80" s="2">
        <f>COUNTIF($C$2:$C$149,C80)</f>
        <v/>
      </c>
      <c r="I80" s="2">
        <f>IF(COUNTIF($C$2:C80,C80)&gt;1,"Sim","Não")</f>
        <v/>
      </c>
      <c r="J80" s="2">
        <f>INDEX('3_Curadoria'!$F$2:$F$109,MATCH(C80,'3_Curadoria'!$B$2:$B$109,0))</f>
        <v/>
      </c>
      <c r="K80" s="2">
        <f>INDEX('3_Curadoria'!$H$2:$H$109,MATCH(C80,'3_Curadoria'!$B$2:$B$109,0))</f>
        <v/>
      </c>
    </row>
    <row r="81">
      <c r="A81" s="37" t="n">
        <v>80</v>
      </c>
      <c r="B81" s="5" t="inlineStr">
        <is>
          <t>Massbank:LU129801 4-Chlorophenylurea|(4-chlorophenyl)urea</t>
        </is>
      </c>
      <c r="C81" s="5" t="inlineStr">
        <is>
          <t>4-Chlorophenylurea</t>
        </is>
      </c>
      <c r="D81" s="37" t="inlineStr">
        <is>
          <t>MassBank</t>
        </is>
      </c>
      <c r="E81" s="37" t="inlineStr">
        <is>
          <t>LU129801</t>
        </is>
      </c>
      <c r="F81" s="37" t="inlineStr">
        <is>
          <t>Não informada</t>
        </is>
      </c>
      <c r="G81" s="5" t="inlineStr">
        <is>
          <t>ID do banco embutido no nome; sinônimos concatenados com '|'</t>
        </is>
      </c>
      <c r="H81" s="2">
        <f>COUNTIF($C$2:$C$149,C81)</f>
        <v/>
      </c>
      <c r="I81" s="2">
        <f>IF(COUNTIF($C$2:C81,C81)&gt;1,"Sim","Não")</f>
        <v/>
      </c>
      <c r="J81" s="2">
        <f>INDEX('3_Curadoria'!$F$2:$F$109,MATCH(C81,'3_Curadoria'!$B$2:$B$109,0))</f>
        <v/>
      </c>
      <c r="K81" s="2">
        <f>INDEX('3_Curadoria'!$H$2:$H$109,MATCH(C81,'3_Curadoria'!$B$2:$B$109,0))</f>
        <v/>
      </c>
    </row>
    <row r="82">
      <c r="A82" s="37" t="n">
        <v>81</v>
      </c>
      <c r="B82" s="5" t="inlineStr">
        <is>
          <t>Massbank:PB000393 Leucine|2-amino-4-methylpentanoic acid</t>
        </is>
      </c>
      <c r="C82" s="5" t="inlineStr">
        <is>
          <t>Leucine</t>
        </is>
      </c>
      <c r="D82" s="37" t="inlineStr">
        <is>
          <t>MassBank</t>
        </is>
      </c>
      <c r="E82" s="37" t="inlineStr">
        <is>
          <t>PB000393</t>
        </is>
      </c>
      <c r="F82" s="37" t="inlineStr">
        <is>
          <t>Não informada</t>
        </is>
      </c>
      <c r="G82" s="5" t="inlineStr">
        <is>
          <t>ID do banco embutido no nome; sinônimos concatenados com '|'</t>
        </is>
      </c>
      <c r="H82" s="2">
        <f>COUNTIF($C$2:$C$149,C82)</f>
        <v/>
      </c>
      <c r="I82" s="2">
        <f>IF(COUNTIF($C$2:C82,C82)&gt;1,"Sim","Não")</f>
        <v/>
      </c>
      <c r="J82" s="2">
        <f>INDEX('3_Curadoria'!$F$2:$F$109,MATCH(C82,'3_Curadoria'!$B$2:$B$109,0))</f>
        <v/>
      </c>
      <c r="K82" s="2">
        <f>INDEX('3_Curadoria'!$H$2:$H$109,MATCH(C82,'3_Curadoria'!$B$2:$B$109,0))</f>
        <v/>
      </c>
    </row>
    <row r="83">
      <c r="A83" s="37" t="n">
        <v>82</v>
      </c>
      <c r="B83" s="5" t="inlineStr">
        <is>
          <t>Massbank:PB000397 Isoleucine|2-amino-3-methylpentanoic acid</t>
        </is>
      </c>
      <c r="C83" s="5" t="inlineStr">
        <is>
          <t>Isoleucine</t>
        </is>
      </c>
      <c r="D83" s="37" t="inlineStr">
        <is>
          <t>MassBank</t>
        </is>
      </c>
      <c r="E83" s="37" t="inlineStr">
        <is>
          <t>PB000397</t>
        </is>
      </c>
      <c r="F83" s="37" t="inlineStr">
        <is>
          <t>Não informada</t>
        </is>
      </c>
      <c r="G83" s="5" t="inlineStr">
        <is>
          <t>ID do banco embutido no nome; sinônimos concatenados com '|'</t>
        </is>
      </c>
      <c r="H83" s="2">
        <f>COUNTIF($C$2:$C$149,C83)</f>
        <v/>
      </c>
      <c r="I83" s="2">
        <f>IF(COUNTIF($C$2:C83,C83)&gt;1,"Sim","Não")</f>
        <v/>
      </c>
      <c r="J83" s="2">
        <f>INDEX('3_Curadoria'!$F$2:$F$109,MATCH(C83,'3_Curadoria'!$B$2:$B$109,0))</f>
        <v/>
      </c>
      <c r="K83" s="2">
        <f>INDEX('3_Curadoria'!$H$2:$H$109,MATCH(C83,'3_Curadoria'!$B$2:$B$109,0))</f>
        <v/>
      </c>
    </row>
    <row r="84">
      <c r="A84" s="37" t="n">
        <v>83</v>
      </c>
      <c r="B84" s="5" t="inlineStr">
        <is>
          <t>Massbank:PB000408 Phenylalanine|2-amino-3-phenylpropanoic acid</t>
        </is>
      </c>
      <c r="C84" s="5" t="inlineStr">
        <is>
          <t>Phenylalanine</t>
        </is>
      </c>
      <c r="D84" s="37" t="inlineStr">
        <is>
          <t>MassBank</t>
        </is>
      </c>
      <c r="E84" s="37" t="inlineStr">
        <is>
          <t>PB000408</t>
        </is>
      </c>
      <c r="F84" s="37" t="inlineStr">
        <is>
          <t>Não informada</t>
        </is>
      </c>
      <c r="G84" s="5" t="inlineStr">
        <is>
          <t>ID do banco embutido no nome; sinônimos concatenados com '|'</t>
        </is>
      </c>
      <c r="H84" s="2">
        <f>COUNTIF($C$2:$C$149,C84)</f>
        <v/>
      </c>
      <c r="I84" s="2">
        <f>IF(COUNTIF($C$2:C84,C84)&gt;1,"Sim","Não")</f>
        <v/>
      </c>
      <c r="J84" s="2">
        <f>INDEX('3_Curadoria'!$F$2:$F$109,MATCH(C84,'3_Curadoria'!$B$2:$B$109,0))</f>
        <v/>
      </c>
      <c r="K84" s="2">
        <f>INDEX('3_Curadoria'!$H$2:$H$109,MATCH(C84,'3_Curadoria'!$B$2:$B$109,0))</f>
        <v/>
      </c>
    </row>
    <row r="85">
      <c r="A85" s="37" t="n">
        <v>84</v>
      </c>
      <c r="B85" s="5" t="inlineStr">
        <is>
          <t>Massbank:PB000458 Asparagine|2,4-diamino-4-oxobutanoic acid</t>
        </is>
      </c>
      <c r="C85" s="5" t="inlineStr">
        <is>
          <t>Asparagine</t>
        </is>
      </c>
      <c r="D85" s="37" t="inlineStr">
        <is>
          <t>MassBank</t>
        </is>
      </c>
      <c r="E85" s="37" t="inlineStr">
        <is>
          <t>PB000458</t>
        </is>
      </c>
      <c r="F85" s="37" t="inlineStr">
        <is>
          <t>Não informada</t>
        </is>
      </c>
      <c r="G85" s="5" t="inlineStr">
        <is>
          <t>ID do banco embutido no nome; sinônimos concatenados com '|'</t>
        </is>
      </c>
      <c r="H85" s="2">
        <f>COUNTIF($C$2:$C$149,C85)</f>
        <v/>
      </c>
      <c r="I85" s="2">
        <f>IF(COUNTIF($C$2:C85,C85)&gt;1,"Sim","Não")</f>
        <v/>
      </c>
      <c r="J85" s="2">
        <f>INDEX('3_Curadoria'!$F$2:$F$109,MATCH(C85,'3_Curadoria'!$B$2:$B$109,0))</f>
        <v/>
      </c>
      <c r="K85" s="2">
        <f>INDEX('3_Curadoria'!$H$2:$H$109,MATCH(C85,'3_Curadoria'!$B$2:$B$109,0))</f>
        <v/>
      </c>
    </row>
    <row r="86">
      <c r="A86" s="37" t="n">
        <v>85</v>
      </c>
      <c r="B86" s="5" t="inlineStr">
        <is>
          <t>Massbank:PB000619 Syringaldehyde|4-hydroxy-3,5-dimethoxybenzaldehyde</t>
        </is>
      </c>
      <c r="C86" s="5" t="inlineStr">
        <is>
          <t>Syringaldehyde</t>
        </is>
      </c>
      <c r="D86" s="37" t="inlineStr">
        <is>
          <t>MassBank</t>
        </is>
      </c>
      <c r="E86" s="37" t="inlineStr">
        <is>
          <t>PB000619</t>
        </is>
      </c>
      <c r="F86" s="37" t="inlineStr">
        <is>
          <t>Não informada</t>
        </is>
      </c>
      <c r="G86" s="5" t="inlineStr">
        <is>
          <t>ID do banco embutido no nome; sinônimos concatenados com '|'</t>
        </is>
      </c>
      <c r="H86" s="2">
        <f>COUNTIF($C$2:$C$149,C86)</f>
        <v/>
      </c>
      <c r="I86" s="2">
        <f>IF(COUNTIF($C$2:C86,C86)&gt;1,"Sim","Não")</f>
        <v/>
      </c>
      <c r="J86" s="2">
        <f>INDEX('3_Curadoria'!$F$2:$F$109,MATCH(C86,'3_Curadoria'!$B$2:$B$109,0))</f>
        <v/>
      </c>
      <c r="K86" s="2">
        <f>INDEX('3_Curadoria'!$H$2:$H$109,MATCH(C86,'3_Curadoria'!$B$2:$B$109,0))</f>
        <v/>
      </c>
    </row>
    <row r="87">
      <c r="A87" s="37" t="n">
        <v>86</v>
      </c>
      <c r="B87" s="5" t="inlineStr">
        <is>
          <t>Massbank:RP030402 ?-linolenic acid|linolenic acid|(9Z,12Z,15Z)-octadeca-9,12,15-trienoic acid</t>
        </is>
      </c>
      <c r="C87" s="5" t="inlineStr">
        <is>
          <t>alpha-Linolenic acid</t>
        </is>
      </c>
      <c r="D87" s="37" t="inlineStr">
        <is>
          <t>MassBank</t>
        </is>
      </c>
      <c r="E87" s="37" t="inlineStr">
        <is>
          <t>RP030402</t>
        </is>
      </c>
      <c r="F87" s="37" t="inlineStr">
        <is>
          <t>Não informada</t>
        </is>
      </c>
      <c r="G87" s="5" t="inlineStr">
        <is>
          <t>ID do banco embutido no nome; sinônimos concatenados com '|'; caractere corrompido (encoding)</t>
        </is>
      </c>
      <c r="H87" s="2">
        <f>COUNTIF($C$2:$C$149,C87)</f>
        <v/>
      </c>
      <c r="I87" s="2">
        <f>IF(COUNTIF($C$2:C87,C87)&gt;1,"Sim","Não")</f>
        <v/>
      </c>
      <c r="J87" s="2">
        <f>INDEX('3_Curadoria'!$F$2:$F$109,MATCH(C87,'3_Curadoria'!$B$2:$B$109,0))</f>
        <v/>
      </c>
      <c r="K87" s="2">
        <f>INDEX('3_Curadoria'!$H$2:$H$109,MATCH(C87,'3_Curadoria'!$B$2:$B$109,0))</f>
        <v/>
      </c>
    </row>
    <row r="88">
      <c r="A88" s="37" t="n">
        <v>87</v>
      </c>
      <c r="B88" s="5" t="inlineStr">
        <is>
          <t>Massbank:RP030403 ?-linolenic acid|linolenic acid|(9Z,12Z,15Z)-octadeca-9,12,15-trienoic acid</t>
        </is>
      </c>
      <c r="C88" s="5" t="inlineStr">
        <is>
          <t>alpha-Linolenic acid</t>
        </is>
      </c>
      <c r="D88" s="37" t="inlineStr">
        <is>
          <t>MassBank</t>
        </is>
      </c>
      <c r="E88" s="37" t="inlineStr">
        <is>
          <t>RP030403</t>
        </is>
      </c>
      <c r="F88" s="37" t="inlineStr">
        <is>
          <t>Não informada</t>
        </is>
      </c>
      <c r="G88" s="5" t="inlineStr">
        <is>
          <t>ID do banco embutido no nome; sinônimos concatenados com '|'; caractere corrompido (encoding)</t>
        </is>
      </c>
      <c r="H88" s="2">
        <f>COUNTIF($C$2:$C$149,C88)</f>
        <v/>
      </c>
      <c r="I88" s="2">
        <f>IF(COUNTIF($C$2:C88,C88)&gt;1,"Sim","Não")</f>
        <v/>
      </c>
      <c r="J88" s="2">
        <f>INDEX('3_Curadoria'!$F$2:$F$109,MATCH(C88,'3_Curadoria'!$B$2:$B$109,0))</f>
        <v/>
      </c>
      <c r="K88" s="2">
        <f>INDEX('3_Curadoria'!$H$2:$H$109,MATCH(C88,'3_Curadoria'!$B$2:$B$109,0))</f>
        <v/>
      </c>
    </row>
    <row r="89">
      <c r="A89" s="37" t="n">
        <v>88</v>
      </c>
      <c r="B89" s="5" t="inlineStr">
        <is>
          <t>Massbank:UA005501 L-Phenylalanine|(2S)-2-Azaniumyl-3-phenylpropanoate</t>
        </is>
      </c>
      <c r="C89" s="5" t="inlineStr">
        <is>
          <t>Phenylalanine</t>
        </is>
      </c>
      <c r="D89" s="37" t="inlineStr">
        <is>
          <t>MassBank</t>
        </is>
      </c>
      <c r="E89" s="37" t="inlineStr">
        <is>
          <t>UA005501</t>
        </is>
      </c>
      <c r="F89" s="37" t="inlineStr">
        <is>
          <t>Não informada</t>
        </is>
      </c>
      <c r="G89" s="5" t="inlineStr">
        <is>
          <t>ID do banco embutido no nome; sinônimos concatenados com '|'</t>
        </is>
      </c>
      <c r="H89" s="2">
        <f>COUNTIF($C$2:$C$149,C89)</f>
        <v/>
      </c>
      <c r="I89" s="2">
        <f>IF(COUNTIF($C$2:C89,C89)&gt;1,"Sim","Não")</f>
        <v/>
      </c>
      <c r="J89" s="2">
        <f>INDEX('3_Curadoria'!$F$2:$F$109,MATCH(C89,'3_Curadoria'!$B$2:$B$109,0))</f>
        <v/>
      </c>
      <c r="K89" s="2">
        <f>INDEX('3_Curadoria'!$H$2:$H$109,MATCH(C89,'3_Curadoria'!$B$2:$B$109,0))</f>
        <v/>
      </c>
    </row>
    <row r="90">
      <c r="A90" s="37" t="n">
        <v>89</v>
      </c>
      <c r="B90" s="5" t="inlineStr">
        <is>
          <t>Massbank:UA005601 L-Tyrosine|(2S)-2-Azaniumyl-3-(4-hydroxyphenyl)propanoate</t>
        </is>
      </c>
      <c r="C90" s="5" t="inlineStr">
        <is>
          <t>Tyrosine</t>
        </is>
      </c>
      <c r="D90" s="37" t="inlineStr">
        <is>
          <t>MassBank</t>
        </is>
      </c>
      <c r="E90" s="37" t="inlineStr">
        <is>
          <t>UA005601</t>
        </is>
      </c>
      <c r="F90" s="37" t="inlineStr">
        <is>
          <t>Não informada</t>
        </is>
      </c>
      <c r="G90" s="5" t="inlineStr">
        <is>
          <t>ID do banco embutido no nome; sinônimos concatenados com '|'</t>
        </is>
      </c>
      <c r="H90" s="2">
        <f>COUNTIF($C$2:$C$149,C90)</f>
        <v/>
      </c>
      <c r="I90" s="2">
        <f>IF(COUNTIF($C$2:C90,C90)&gt;1,"Sim","Não")</f>
        <v/>
      </c>
      <c r="J90" s="2">
        <f>INDEX('3_Curadoria'!$F$2:$F$109,MATCH(C90,'3_Curadoria'!$B$2:$B$109,0))</f>
        <v/>
      </c>
      <c r="K90" s="2">
        <f>INDEX('3_Curadoria'!$H$2:$H$109,MATCH(C90,'3_Curadoria'!$B$2:$B$109,0))</f>
        <v/>
      </c>
    </row>
    <row r="91">
      <c r="A91" s="37" t="n">
        <v>90</v>
      </c>
      <c r="B91" s="5" t="inlineStr">
        <is>
          <t>METHYLTHIOADENOSINE - 20.0 eV</t>
        </is>
      </c>
      <c r="C91" s="5" t="inlineStr">
        <is>
          <t>5'-Methylthioadenosine (MTA)</t>
        </is>
      </c>
      <c r="D91" s="37" t="inlineStr">
        <is>
          <t>Não informada</t>
        </is>
      </c>
      <c r="E91" s="37" t="inlineStr"/>
      <c r="F91" s="37" t="inlineStr">
        <is>
          <t>20 eV</t>
        </is>
      </c>
      <c r="G91" s="5" t="inlineStr">
        <is>
          <t>energia de colisão embutida no nome; caixa alta inconsistente</t>
        </is>
      </c>
      <c r="H91" s="2">
        <f>COUNTIF($C$2:$C$149,C91)</f>
        <v/>
      </c>
      <c r="I91" s="2">
        <f>IF(COUNTIF($C$2:C91,C91)&gt;1,"Sim","Não")</f>
        <v/>
      </c>
      <c r="J91" s="2">
        <f>INDEX('3_Curadoria'!$F$2:$F$109,MATCH(C91,'3_Curadoria'!$B$2:$B$109,0))</f>
        <v/>
      </c>
      <c r="K91" s="2">
        <f>INDEX('3_Curadoria'!$H$2:$H$109,MATCH(C91,'3_Curadoria'!$B$2:$B$109,0))</f>
        <v/>
      </c>
    </row>
    <row r="92">
      <c r="A92" s="37" t="n">
        <v>91</v>
      </c>
      <c r="B92" s="5" t="inlineStr">
        <is>
          <t>MoNA:823334 Nitroso-Pyrrolidine</t>
        </is>
      </c>
      <c r="C92" s="5" t="inlineStr">
        <is>
          <t>N-Nitrosopyrrolidine</t>
        </is>
      </c>
      <c r="D92" s="37" t="inlineStr">
        <is>
          <t>MoNA</t>
        </is>
      </c>
      <c r="E92" s="37" t="inlineStr">
        <is>
          <t>823334</t>
        </is>
      </c>
      <c r="F92" s="37" t="inlineStr">
        <is>
          <t>Não informada</t>
        </is>
      </c>
      <c r="G92" s="5" t="inlineStr">
        <is>
          <t>ID do banco embutido no nome</t>
        </is>
      </c>
      <c r="H92" s="2">
        <f>COUNTIF($C$2:$C$149,C92)</f>
        <v/>
      </c>
      <c r="I92" s="2">
        <f>IF(COUNTIF($C$2:C92,C92)&gt;1,"Sim","Não")</f>
        <v/>
      </c>
      <c r="J92" s="2">
        <f>INDEX('3_Curadoria'!$F$2:$F$109,MATCH(C92,'3_Curadoria'!$B$2:$B$109,0))</f>
        <v/>
      </c>
      <c r="K92" s="2">
        <f>INDEX('3_Curadoria'!$H$2:$H$109,MATCH(C92,'3_Curadoria'!$B$2:$B$109,0))</f>
        <v/>
      </c>
    </row>
    <row r="93">
      <c r="A93" s="37" t="n">
        <v>92</v>
      </c>
      <c r="B93" s="5" t="inlineStr">
        <is>
          <t>N-Acetyl-L-leucine - 40.0 eV</t>
        </is>
      </c>
      <c r="C93" s="5" t="inlineStr">
        <is>
          <t>N-Acetyl-L-leucine</t>
        </is>
      </c>
      <c r="D93" s="37" t="inlineStr">
        <is>
          <t>Não informada</t>
        </is>
      </c>
      <c r="E93" s="37" t="inlineStr"/>
      <c r="F93" s="37" t="inlineStr">
        <is>
          <t>40 eV</t>
        </is>
      </c>
      <c r="G93" s="5" t="inlineStr">
        <is>
          <t>energia de colisão embutida no nome</t>
        </is>
      </c>
      <c r="H93" s="2">
        <f>COUNTIF($C$2:$C$149,C93)</f>
        <v/>
      </c>
      <c r="I93" s="2">
        <f>IF(COUNTIF($C$2:C93,C93)&gt;1,"Sim","Não")</f>
        <v/>
      </c>
      <c r="J93" s="2">
        <f>INDEX('3_Curadoria'!$F$2:$F$109,MATCH(C93,'3_Curadoria'!$B$2:$B$109,0))</f>
        <v/>
      </c>
      <c r="K93" s="2">
        <f>INDEX('3_Curadoria'!$H$2:$H$109,MATCH(C93,'3_Curadoria'!$B$2:$B$109,0))</f>
        <v/>
      </c>
    </row>
    <row r="94">
      <c r="A94" s="37" t="n">
        <v>93</v>
      </c>
      <c r="B94" s="5" t="inlineStr">
        <is>
          <t>NL3680000 - 40.0 eV</t>
        </is>
      </c>
      <c r="C94" s="5" t="inlineStr">
        <is>
          <t>NL3680000 (não resolvido)</t>
        </is>
      </c>
      <c r="D94" s="37" t="inlineStr">
        <is>
          <t>Não informada</t>
        </is>
      </c>
      <c r="E94" s="37" t="inlineStr"/>
      <c r="F94" s="37" t="inlineStr">
        <is>
          <t>40 eV</t>
        </is>
      </c>
      <c r="G94" s="5" t="inlineStr">
        <is>
          <t>energia de colisão embutida no nome; código no lugar do nome</t>
        </is>
      </c>
      <c r="H94" s="2">
        <f>COUNTIF($C$2:$C$149,C94)</f>
        <v/>
      </c>
      <c r="I94" s="2">
        <f>IF(COUNTIF($C$2:C94,C94)&gt;1,"Sim","Não")</f>
        <v/>
      </c>
      <c r="J94" s="2">
        <f>INDEX('3_Curadoria'!$F$2:$F$109,MATCH(C94,'3_Curadoria'!$B$2:$B$109,0))</f>
        <v/>
      </c>
      <c r="K94" s="2">
        <f>INDEX('3_Curadoria'!$H$2:$H$109,MATCH(C94,'3_Curadoria'!$B$2:$B$109,0))</f>
        <v/>
      </c>
    </row>
    <row r="95">
      <c r="A95" s="37" t="n">
        <v>94</v>
      </c>
      <c r="B95" s="5" t="inlineStr">
        <is>
          <t>Norharman</t>
        </is>
      </c>
      <c r="C95" s="5" t="inlineStr">
        <is>
          <t>Norharman</t>
        </is>
      </c>
      <c r="D95" s="37" t="inlineStr">
        <is>
          <t>Não informada</t>
        </is>
      </c>
      <c r="E95" s="37" t="inlineStr"/>
      <c r="F95" s="37" t="inlineStr">
        <is>
          <t>Não informada</t>
        </is>
      </c>
      <c r="G95" s="5" t="inlineStr">
        <is>
          <t>—</t>
        </is>
      </c>
      <c r="H95" s="2">
        <f>COUNTIF($C$2:$C$149,C95)</f>
        <v/>
      </c>
      <c r="I95" s="2">
        <f>IF(COUNTIF($C$2:C95,C95)&gt;1,"Sim","Não")</f>
        <v/>
      </c>
      <c r="J95" s="2">
        <f>INDEX('3_Curadoria'!$F$2:$F$109,MATCH(C95,'3_Curadoria'!$B$2:$B$109,0))</f>
        <v/>
      </c>
      <c r="K95" s="2">
        <f>INDEX('3_Curadoria'!$H$2:$H$109,MATCH(C95,'3_Curadoria'!$B$2:$B$109,0))</f>
        <v/>
      </c>
    </row>
    <row r="96">
      <c r="A96" s="37" t="n">
        <v>95</v>
      </c>
      <c r="B96" s="5" t="inlineStr">
        <is>
          <t>NORLEUCINE - 20.0 eV</t>
        </is>
      </c>
      <c r="C96" s="5" t="inlineStr">
        <is>
          <t>Norleucine</t>
        </is>
      </c>
      <c r="D96" s="37" t="inlineStr">
        <is>
          <t>Não informada</t>
        </is>
      </c>
      <c r="E96" s="37" t="inlineStr"/>
      <c r="F96" s="37" t="inlineStr">
        <is>
          <t>20 eV</t>
        </is>
      </c>
      <c r="G96" s="5" t="inlineStr">
        <is>
          <t>energia de colisão embutida no nome; caixa alta inconsistente</t>
        </is>
      </c>
      <c r="H96" s="2">
        <f>COUNTIF($C$2:$C$149,C96)</f>
        <v/>
      </c>
      <c r="I96" s="2">
        <f>IF(COUNTIF($C$2:C96,C96)&gt;1,"Sim","Não")</f>
        <v/>
      </c>
      <c r="J96" s="2">
        <f>INDEX('3_Curadoria'!$F$2:$F$109,MATCH(C96,'3_Curadoria'!$B$2:$B$109,0))</f>
        <v/>
      </c>
      <c r="K96" s="2">
        <f>INDEX('3_Curadoria'!$H$2:$H$109,MATCH(C96,'3_Curadoria'!$B$2:$B$109,0))</f>
        <v/>
      </c>
    </row>
    <row r="97">
      <c r="A97" s="37" t="n">
        <v>96</v>
      </c>
      <c r="B97" s="5" t="inlineStr">
        <is>
          <t>NORLEUCINE - 30.0 eV</t>
        </is>
      </c>
      <c r="C97" s="5" t="inlineStr">
        <is>
          <t>Norleucine</t>
        </is>
      </c>
      <c r="D97" s="37" t="inlineStr">
        <is>
          <t>Não informada</t>
        </is>
      </c>
      <c r="E97" s="37" t="inlineStr"/>
      <c r="F97" s="37" t="inlineStr">
        <is>
          <t>30 eV</t>
        </is>
      </c>
      <c r="G97" s="5" t="inlineStr">
        <is>
          <t>energia de colisão embutida no nome; caixa alta inconsistente</t>
        </is>
      </c>
      <c r="H97" s="2">
        <f>COUNTIF($C$2:$C$149,C97)</f>
        <v/>
      </c>
      <c r="I97" s="2">
        <f>IF(COUNTIF($C$2:C97,C97)&gt;1,"Sim","Não")</f>
        <v/>
      </c>
      <c r="J97" s="2">
        <f>INDEX('3_Curadoria'!$F$2:$F$109,MATCH(C97,'3_Curadoria'!$B$2:$B$109,0))</f>
        <v/>
      </c>
      <c r="K97" s="2">
        <f>INDEX('3_Curadoria'!$H$2:$H$109,MATCH(C97,'3_Curadoria'!$B$2:$B$109,0))</f>
        <v/>
      </c>
    </row>
    <row r="98">
      <c r="A98" s="37" t="n">
        <v>97</v>
      </c>
      <c r="B98" s="5" t="inlineStr">
        <is>
          <t>NORLEUCINE - 40.0 eV</t>
        </is>
      </c>
      <c r="C98" s="5" t="inlineStr">
        <is>
          <t>Norleucine</t>
        </is>
      </c>
      <c r="D98" s="37" t="inlineStr">
        <is>
          <t>Não informada</t>
        </is>
      </c>
      <c r="E98" s="37" t="inlineStr"/>
      <c r="F98" s="37" t="inlineStr">
        <is>
          <t>40 eV</t>
        </is>
      </c>
      <c r="G98" s="5" t="inlineStr">
        <is>
          <t>energia de colisão embutida no nome; caixa alta inconsistente</t>
        </is>
      </c>
      <c r="H98" s="2">
        <f>COUNTIF($C$2:$C$149,C98)</f>
        <v/>
      </c>
      <c r="I98" s="2">
        <f>IF(COUNTIF($C$2:C98,C98)&gt;1,"Sim","Não")</f>
        <v/>
      </c>
      <c r="J98" s="2">
        <f>INDEX('3_Curadoria'!$F$2:$F$109,MATCH(C98,'3_Curadoria'!$B$2:$B$109,0))</f>
        <v/>
      </c>
      <c r="K98" s="2">
        <f>INDEX('3_Curadoria'!$H$2:$H$109,MATCH(C98,'3_Curadoria'!$B$2:$B$109,0))</f>
        <v/>
      </c>
    </row>
    <row r="99">
      <c r="A99" s="37" t="n">
        <v>98</v>
      </c>
      <c r="B99" s="5" t="inlineStr">
        <is>
          <t>NORLEUCINE - 50.0 eV</t>
        </is>
      </c>
      <c r="C99" s="5" t="inlineStr">
        <is>
          <t>Norleucine</t>
        </is>
      </c>
      <c r="D99" s="37" t="inlineStr">
        <is>
          <t>Não informada</t>
        </is>
      </c>
      <c r="E99" s="37" t="inlineStr"/>
      <c r="F99" s="37" t="inlineStr">
        <is>
          <t>50 eV</t>
        </is>
      </c>
      <c r="G99" s="5" t="inlineStr">
        <is>
          <t>energia de colisão embutida no nome; caixa alta inconsistente</t>
        </is>
      </c>
      <c r="H99" s="2">
        <f>COUNTIF($C$2:$C$149,C99)</f>
        <v/>
      </c>
      <c r="I99" s="2">
        <f>IF(COUNTIF($C$2:C99,C99)&gt;1,"Sim","Não")</f>
        <v/>
      </c>
      <c r="J99" s="2">
        <f>INDEX('3_Curadoria'!$F$2:$F$109,MATCH(C99,'3_Curadoria'!$B$2:$B$109,0))</f>
        <v/>
      </c>
      <c r="K99" s="2">
        <f>INDEX('3_Curadoria'!$H$2:$H$109,MATCH(C99,'3_Curadoria'!$B$2:$B$109,0))</f>
        <v/>
      </c>
    </row>
    <row r="100">
      <c r="A100" s="37" t="n">
        <v>99</v>
      </c>
      <c r="B100" s="5" t="inlineStr">
        <is>
          <t>NORLEUCINE - 60.0 eV</t>
        </is>
      </c>
      <c r="C100" s="5" t="inlineStr">
        <is>
          <t>Norleucine</t>
        </is>
      </c>
      <c r="D100" s="37" t="inlineStr">
        <is>
          <t>Não informada</t>
        </is>
      </c>
      <c r="E100" s="37" t="inlineStr"/>
      <c r="F100" s="37" t="inlineStr">
        <is>
          <t>60 eV</t>
        </is>
      </c>
      <c r="G100" s="5" t="inlineStr">
        <is>
          <t>energia de colisão embutida no nome; caixa alta inconsistente</t>
        </is>
      </c>
      <c r="H100" s="2">
        <f>COUNTIF($C$2:$C$149,C100)</f>
        <v/>
      </c>
      <c r="I100" s="2">
        <f>IF(COUNTIF($C$2:C100,C100)&gt;1,"Sim","Não")</f>
        <v/>
      </c>
      <c r="J100" s="2">
        <f>INDEX('3_Curadoria'!$F$2:$F$109,MATCH(C100,'3_Curadoria'!$B$2:$B$109,0))</f>
        <v/>
      </c>
      <c r="K100" s="2">
        <f>INDEX('3_Curadoria'!$H$2:$H$109,MATCH(C100,'3_Curadoria'!$B$2:$B$109,0))</f>
        <v/>
      </c>
    </row>
    <row r="101">
      <c r="A101" s="37" t="n">
        <v>100</v>
      </c>
      <c r="B101" s="5" t="inlineStr">
        <is>
          <t>NORLEUCINE - 70.0 eV</t>
        </is>
      </c>
      <c r="C101" s="5" t="inlineStr">
        <is>
          <t>Norleucine</t>
        </is>
      </c>
      <c r="D101" s="37" t="inlineStr">
        <is>
          <t>Não informada</t>
        </is>
      </c>
      <c r="E101" s="37" t="inlineStr"/>
      <c r="F101" s="37" t="inlineStr">
        <is>
          <t>70 eV</t>
        </is>
      </c>
      <c r="G101" s="5" t="inlineStr">
        <is>
          <t>energia de colisão embutida no nome; caixa alta inconsistente</t>
        </is>
      </c>
      <c r="H101" s="2">
        <f>COUNTIF($C$2:$C$149,C101)</f>
        <v/>
      </c>
      <c r="I101" s="2">
        <f>IF(COUNTIF($C$2:C101,C101)&gt;1,"Sim","Não")</f>
        <v/>
      </c>
      <c r="J101" s="2">
        <f>INDEX('3_Curadoria'!$F$2:$F$109,MATCH(C101,'3_Curadoria'!$B$2:$B$109,0))</f>
        <v/>
      </c>
      <c r="K101" s="2">
        <f>INDEX('3_Curadoria'!$H$2:$H$109,MATCH(C101,'3_Curadoria'!$B$2:$B$109,0))</f>
        <v/>
      </c>
    </row>
    <row r="102">
      <c r="A102" s="37" t="n">
        <v>101</v>
      </c>
      <c r="B102" s="5" t="inlineStr">
        <is>
          <t>PARAXANTHINE - 20.0 eV</t>
        </is>
      </c>
      <c r="C102" s="5" t="inlineStr">
        <is>
          <t>Paraxanthine</t>
        </is>
      </c>
      <c r="D102" s="37" t="inlineStr">
        <is>
          <t>Não informada</t>
        </is>
      </c>
      <c r="E102" s="37" t="inlineStr"/>
      <c r="F102" s="37" t="inlineStr">
        <is>
          <t>20 eV</t>
        </is>
      </c>
      <c r="G102" s="5" t="inlineStr">
        <is>
          <t>energia de colisão embutida no nome; caixa alta inconsistente</t>
        </is>
      </c>
      <c r="H102" s="2">
        <f>COUNTIF($C$2:$C$149,C102)</f>
        <v/>
      </c>
      <c r="I102" s="2">
        <f>IF(COUNTIF($C$2:C102,C102)&gt;1,"Sim","Não")</f>
        <v/>
      </c>
      <c r="J102" s="2">
        <f>INDEX('3_Curadoria'!$F$2:$F$109,MATCH(C102,'3_Curadoria'!$B$2:$B$109,0))</f>
        <v/>
      </c>
      <c r="K102" s="2">
        <f>INDEX('3_Curadoria'!$H$2:$H$109,MATCH(C102,'3_Curadoria'!$B$2:$B$109,0))</f>
        <v/>
      </c>
    </row>
    <row r="103">
      <c r="A103" s="37" t="n">
        <v>102</v>
      </c>
      <c r="B103" s="5" t="inlineStr">
        <is>
          <t>PARAXANTHINE - 30.0 eV</t>
        </is>
      </c>
      <c r="C103" s="5" t="inlineStr">
        <is>
          <t>Paraxanthine</t>
        </is>
      </c>
      <c r="D103" s="37" t="inlineStr">
        <is>
          <t>Não informada</t>
        </is>
      </c>
      <c r="E103" s="37" t="inlineStr"/>
      <c r="F103" s="37" t="inlineStr">
        <is>
          <t>30 eV</t>
        </is>
      </c>
      <c r="G103" s="5" t="inlineStr">
        <is>
          <t>energia de colisão embutida no nome; caixa alta inconsistente</t>
        </is>
      </c>
      <c r="H103" s="2">
        <f>COUNTIF($C$2:$C$149,C103)</f>
        <v/>
      </c>
      <c r="I103" s="2">
        <f>IF(COUNTIF($C$2:C103,C103)&gt;1,"Sim","Não")</f>
        <v/>
      </c>
      <c r="J103" s="2">
        <f>INDEX('3_Curadoria'!$F$2:$F$109,MATCH(C103,'3_Curadoria'!$B$2:$B$109,0))</f>
        <v/>
      </c>
      <c r="K103" s="2">
        <f>INDEX('3_Curadoria'!$H$2:$H$109,MATCH(C103,'3_Curadoria'!$B$2:$B$109,0))</f>
        <v/>
      </c>
    </row>
    <row r="104">
      <c r="A104" s="37" t="n">
        <v>103</v>
      </c>
      <c r="B104" s="5" t="inlineStr">
        <is>
          <t>PC(18:0/20:3); [M+H]+ C46H87N1O8P1</t>
        </is>
      </c>
      <c r="C104" s="5" t="inlineStr">
        <is>
          <t>PC(18:0/20:3)</t>
        </is>
      </c>
      <c r="D104" s="37" t="inlineStr">
        <is>
          <t>Não informada</t>
        </is>
      </c>
      <c r="E104" s="37" t="inlineStr"/>
      <c r="F104" s="37" t="inlineStr">
        <is>
          <t>Não informada</t>
        </is>
      </c>
      <c r="G104" s="5" t="inlineStr">
        <is>
          <t>aduto e fórmula embutidos no nome</t>
        </is>
      </c>
      <c r="H104" s="2">
        <f>COUNTIF($C$2:$C$149,C104)</f>
        <v/>
      </c>
      <c r="I104" s="2">
        <f>IF(COUNTIF($C$2:C104,C104)&gt;1,"Sim","Não")</f>
        <v/>
      </c>
      <c r="J104" s="2">
        <f>INDEX('3_Curadoria'!$F$2:$F$109,MATCH(C104,'3_Curadoria'!$B$2:$B$109,0))</f>
        <v/>
      </c>
      <c r="K104" s="2">
        <f>INDEX('3_Curadoria'!$H$2:$H$109,MATCH(C104,'3_Curadoria'!$B$2:$B$109,0))</f>
        <v/>
      </c>
    </row>
    <row r="105">
      <c r="A105" s="37" t="n">
        <v>104</v>
      </c>
      <c r="B105" s="5" t="inlineStr">
        <is>
          <t>PE(20:3/22:6); [M-H]- C47H75N1O8P1</t>
        </is>
      </c>
      <c r="C105" s="5" t="inlineStr">
        <is>
          <t>PE(20:3/22:6)</t>
        </is>
      </c>
      <c r="D105" s="37" t="inlineStr">
        <is>
          <t>Não informada</t>
        </is>
      </c>
      <c r="E105" s="37" t="inlineStr"/>
      <c r="F105" s="37" t="inlineStr">
        <is>
          <t>Não informada</t>
        </is>
      </c>
      <c r="G105" s="5" t="inlineStr">
        <is>
          <t>aduto e fórmula embutidos no nome</t>
        </is>
      </c>
      <c r="H105" s="2">
        <f>COUNTIF($C$2:$C$149,C105)</f>
        <v/>
      </c>
      <c r="I105" s="2">
        <f>IF(COUNTIF($C$2:C105,C105)&gt;1,"Sim","Não")</f>
        <v/>
      </c>
      <c r="J105" s="2">
        <f>INDEX('3_Curadoria'!$F$2:$F$109,MATCH(C105,'3_Curadoria'!$B$2:$B$109,0))</f>
        <v/>
      </c>
      <c r="K105" s="2">
        <f>INDEX('3_Curadoria'!$H$2:$H$109,MATCH(C105,'3_Curadoria'!$B$2:$B$109,0))</f>
        <v/>
      </c>
    </row>
    <row r="106">
      <c r="A106" s="37" t="n">
        <v>105</v>
      </c>
      <c r="B106" s="5" t="inlineStr">
        <is>
          <t>PE(P-16:0/22:4); [M-H]- C43H77N1O7P1</t>
        </is>
      </c>
      <c r="C106" s="5" t="inlineStr">
        <is>
          <t>PE(P-16:0/22:4)</t>
        </is>
      </c>
      <c r="D106" s="37" t="inlineStr">
        <is>
          <t>Não informada</t>
        </is>
      </c>
      <c r="E106" s="37" t="inlineStr"/>
      <c r="F106" s="37" t="inlineStr">
        <is>
          <t>Não informada</t>
        </is>
      </c>
      <c r="G106" s="5" t="inlineStr">
        <is>
          <t>aduto e fórmula embutidos no nome</t>
        </is>
      </c>
      <c r="H106" s="2">
        <f>COUNTIF($C$2:$C$149,C106)</f>
        <v/>
      </c>
      <c r="I106" s="2">
        <f>IF(COUNTIF($C$2:C106,C106)&gt;1,"Sim","Não")</f>
        <v/>
      </c>
      <c r="J106" s="2">
        <f>INDEX('3_Curadoria'!$F$2:$F$109,MATCH(C106,'3_Curadoria'!$B$2:$B$109,0))</f>
        <v/>
      </c>
      <c r="K106" s="2">
        <f>INDEX('3_Curadoria'!$H$2:$H$109,MATCH(C106,'3_Curadoria'!$B$2:$B$109,0))</f>
        <v/>
      </c>
    </row>
    <row r="107">
      <c r="A107" s="37" t="n">
        <v>106</v>
      </c>
      <c r="B107" s="5" t="inlineStr">
        <is>
          <t>PI(17:0/18:3); [M-H]- C44H78O13P1</t>
        </is>
      </c>
      <c r="C107" s="5" t="inlineStr">
        <is>
          <t>PI(17:0/18:3)</t>
        </is>
      </c>
      <c r="D107" s="37" t="inlineStr">
        <is>
          <t>Não informada</t>
        </is>
      </c>
      <c r="E107" s="37" t="inlineStr"/>
      <c r="F107" s="37" t="inlineStr">
        <is>
          <t>Não informada</t>
        </is>
      </c>
      <c r="G107" s="5" t="inlineStr">
        <is>
          <t>aduto e fórmula embutidos no nome</t>
        </is>
      </c>
      <c r="H107" s="2">
        <f>COUNTIF($C$2:$C$149,C107)</f>
        <v/>
      </c>
      <c r="I107" s="2">
        <f>IF(COUNTIF($C$2:C107,C107)&gt;1,"Sim","Não")</f>
        <v/>
      </c>
      <c r="J107" s="2">
        <f>INDEX('3_Curadoria'!$F$2:$F$109,MATCH(C107,'3_Curadoria'!$B$2:$B$109,0))</f>
        <v/>
      </c>
      <c r="K107" s="2">
        <f>INDEX('3_Curadoria'!$H$2:$H$109,MATCH(C107,'3_Curadoria'!$B$2:$B$109,0))</f>
        <v/>
      </c>
    </row>
    <row r="108">
      <c r="A108" s="37" t="n">
        <v>107</v>
      </c>
      <c r="B108" s="5" t="inlineStr">
        <is>
          <t>PSICOSE</t>
        </is>
      </c>
      <c r="C108" s="5" t="inlineStr">
        <is>
          <t>Psicose (alulose)</t>
        </is>
      </c>
      <c r="D108" s="37" t="inlineStr">
        <is>
          <t>Não informada</t>
        </is>
      </c>
      <c r="E108" s="37" t="inlineStr"/>
      <c r="F108" s="37" t="inlineStr">
        <is>
          <t>Não informada</t>
        </is>
      </c>
      <c r="G108" s="5" t="inlineStr">
        <is>
          <t>caixa alta inconsistente</t>
        </is>
      </c>
      <c r="H108" s="2">
        <f>COUNTIF($C$2:$C$149,C108)</f>
        <v/>
      </c>
      <c r="I108" s="2">
        <f>IF(COUNTIF($C$2:C108,C108)&gt;1,"Sim","Não")</f>
        <v/>
      </c>
      <c r="J108" s="2">
        <f>INDEX('3_Curadoria'!$F$2:$F$109,MATCH(C108,'3_Curadoria'!$B$2:$B$109,0))</f>
        <v/>
      </c>
      <c r="K108" s="2">
        <f>INDEX('3_Curadoria'!$H$2:$H$109,MATCH(C108,'3_Curadoria'!$B$2:$B$109,0))</f>
        <v/>
      </c>
    </row>
    <row r="109">
      <c r="A109" s="37" t="n">
        <v>108</v>
      </c>
      <c r="B109" s="5" t="inlineStr">
        <is>
          <t>Pyropheophytin a</t>
        </is>
      </c>
      <c r="C109" s="5" t="inlineStr">
        <is>
          <t>Pyropheophytin a</t>
        </is>
      </c>
      <c r="D109" s="37" t="inlineStr">
        <is>
          <t>Não informada</t>
        </is>
      </c>
      <c r="E109" s="37" t="inlineStr"/>
      <c r="F109" s="37" t="inlineStr">
        <is>
          <t>Não informada</t>
        </is>
      </c>
      <c r="G109" s="5" t="inlineStr">
        <is>
          <t>—</t>
        </is>
      </c>
      <c r="H109" s="2">
        <f>COUNTIF($C$2:$C$149,C109)</f>
        <v/>
      </c>
      <c r="I109" s="2">
        <f>IF(COUNTIF($C$2:C109,C109)&gt;1,"Sim","Não")</f>
        <v/>
      </c>
      <c r="J109" s="2">
        <f>INDEX('3_Curadoria'!$F$2:$F$109,MATCH(C109,'3_Curadoria'!$B$2:$B$109,0))</f>
        <v/>
      </c>
      <c r="K109" s="2">
        <f>INDEX('3_Curadoria'!$H$2:$H$109,MATCH(C109,'3_Curadoria'!$B$2:$B$109,0))</f>
        <v/>
      </c>
    </row>
    <row r="110">
      <c r="A110" s="37" t="n">
        <v>109</v>
      </c>
      <c r="B110" s="5" t="inlineStr">
        <is>
          <t>SINAPIC ACID CollisionEnergy:205060</t>
        </is>
      </c>
      <c r="C110" s="5" t="inlineStr">
        <is>
          <t>Sinapic acid</t>
        </is>
      </c>
      <c r="D110" s="37" t="inlineStr">
        <is>
          <t>Não informada</t>
        </is>
      </c>
      <c r="E110" s="37" t="inlineStr"/>
      <c r="F110" s="37" t="inlineStr">
        <is>
          <t>20/50/60 (escalonada)</t>
        </is>
      </c>
      <c r="G110" s="5" t="inlineStr">
        <is>
          <t>energia de colisão embutida no nome; caixa alta inconsistente</t>
        </is>
      </c>
      <c r="H110" s="2">
        <f>COUNTIF($C$2:$C$149,C110)</f>
        <v/>
      </c>
      <c r="I110" s="2">
        <f>IF(COUNTIF($C$2:C110,C110)&gt;1,"Sim","Não")</f>
        <v/>
      </c>
      <c r="J110" s="2">
        <f>INDEX('3_Curadoria'!$F$2:$F$109,MATCH(C110,'3_Curadoria'!$B$2:$B$109,0))</f>
        <v/>
      </c>
      <c r="K110" s="2">
        <f>INDEX('3_Curadoria'!$H$2:$H$109,MATCH(C110,'3_Curadoria'!$B$2:$B$109,0))</f>
        <v/>
      </c>
    </row>
    <row r="111">
      <c r="A111" s="37" t="n">
        <v>110</v>
      </c>
      <c r="B111" s="5" t="inlineStr">
        <is>
          <t>SORBOSE</t>
        </is>
      </c>
      <c r="C111" s="5" t="inlineStr">
        <is>
          <t>Sorbose</t>
        </is>
      </c>
      <c r="D111" s="37" t="inlineStr">
        <is>
          <t>Não informada</t>
        </is>
      </c>
      <c r="E111" s="37" t="inlineStr"/>
      <c r="F111" s="37" t="inlineStr">
        <is>
          <t>Não informada</t>
        </is>
      </c>
      <c r="G111" s="5" t="inlineStr">
        <is>
          <t>caixa alta inconsistente</t>
        </is>
      </c>
      <c r="H111" s="2">
        <f>COUNTIF($C$2:$C$149,C111)</f>
        <v/>
      </c>
      <c r="I111" s="2">
        <f>IF(COUNTIF($C$2:C111,C111)&gt;1,"Sim","Não")</f>
        <v/>
      </c>
      <c r="J111" s="2">
        <f>INDEX('3_Curadoria'!$F$2:$F$109,MATCH(C111,'3_Curadoria'!$B$2:$B$109,0))</f>
        <v/>
      </c>
      <c r="K111" s="2">
        <f>INDEX('3_Curadoria'!$H$2:$H$109,MATCH(C111,'3_Curadoria'!$B$2:$B$109,0))</f>
        <v/>
      </c>
    </row>
    <row r="112">
      <c r="A112" s="37" t="n">
        <v>111</v>
      </c>
      <c r="B112" s="5" t="inlineStr">
        <is>
          <t>1,3-Dicyclohexylurea from NIST14</t>
        </is>
      </c>
      <c r="C112" s="5" t="inlineStr">
        <is>
          <t>1,3-Dicyclohexylurea</t>
        </is>
      </c>
      <c r="D112" s="37" t="inlineStr">
        <is>
          <t>NIST14</t>
        </is>
      </c>
      <c r="E112" s="37" t="inlineStr"/>
      <c r="F112" s="37" t="inlineStr">
        <is>
          <t>Não informada</t>
        </is>
      </c>
      <c r="G112" s="5" t="inlineStr">
        <is>
          <t>espaço extra no início/fim; sufixo de biblioteca no nome</t>
        </is>
      </c>
      <c r="H112" s="2">
        <f>COUNTIF($C$2:$C$149,C112)</f>
        <v/>
      </c>
      <c r="I112" s="2">
        <f>IF(COUNTIF($C$2:C112,C112)&gt;1,"Sim","Não")</f>
        <v/>
      </c>
      <c r="J112" s="2">
        <f>INDEX('3_Curadoria'!$F$2:$F$109,MATCH(C112,'3_Curadoria'!$B$2:$B$109,0))</f>
        <v/>
      </c>
      <c r="K112" s="2">
        <f>INDEX('3_Curadoria'!$H$2:$H$109,MATCH(C112,'3_Curadoria'!$B$2:$B$109,0))</f>
        <v/>
      </c>
    </row>
    <row r="113">
      <c r="A113" s="37" t="n">
        <v>112</v>
      </c>
      <c r="B113" s="5" t="inlineStr">
        <is>
          <t>1-Oleoyl-2-palmitoyl-sn-glycero-3-phosphocholine from NIST14</t>
        </is>
      </c>
      <c r="C113" s="5" t="inlineStr">
        <is>
          <t>PC(16:0/18:1) (POPC)</t>
        </is>
      </c>
      <c r="D113" s="37" t="inlineStr">
        <is>
          <t>NIST14</t>
        </is>
      </c>
      <c r="E113" s="37" t="inlineStr"/>
      <c r="F113" s="37" t="inlineStr">
        <is>
          <t>Não informada</t>
        </is>
      </c>
      <c r="G113" s="5" t="inlineStr">
        <is>
          <t>sufixo de biblioteca no nome</t>
        </is>
      </c>
      <c r="H113" s="2">
        <f>COUNTIF($C$2:$C$149,C113)</f>
        <v/>
      </c>
      <c r="I113" s="2">
        <f>IF(COUNTIF($C$2:C113,C113)&gt;1,"Sim","Não")</f>
        <v/>
      </c>
      <c r="J113" s="2">
        <f>INDEX('3_Curadoria'!$F$2:$F$109,MATCH(C113,'3_Curadoria'!$B$2:$B$109,0))</f>
        <v/>
      </c>
      <c r="K113" s="2">
        <f>INDEX('3_Curadoria'!$H$2:$H$109,MATCH(C113,'3_Curadoria'!$B$2:$B$109,0))</f>
        <v/>
      </c>
    </row>
    <row r="114">
      <c r="A114" s="37" t="n">
        <v>113</v>
      </c>
      <c r="B114" s="5" t="inlineStr">
        <is>
          <t>1-Palmitoyl-2-linoleoyl-sn-glycero-3-phosphocholine from NIST14</t>
        </is>
      </c>
      <c r="C114" s="5" t="inlineStr">
        <is>
          <t>PC(16:0/18:2) (PLPC)</t>
        </is>
      </c>
      <c r="D114" s="37" t="inlineStr">
        <is>
          <t>NIST14</t>
        </is>
      </c>
      <c r="E114" s="37" t="inlineStr"/>
      <c r="F114" s="37" t="inlineStr">
        <is>
          <t>Não informada</t>
        </is>
      </c>
      <c r="G114" s="5" t="inlineStr">
        <is>
          <t>sufixo de biblioteca no nome</t>
        </is>
      </c>
      <c r="H114" s="2">
        <f>COUNTIF($C$2:$C$149,C114)</f>
        <v/>
      </c>
      <c r="I114" s="2">
        <f>IF(COUNTIF($C$2:C114,C114)&gt;1,"Sim","Não")</f>
        <v/>
      </c>
      <c r="J114" s="2">
        <f>INDEX('3_Curadoria'!$F$2:$F$109,MATCH(C114,'3_Curadoria'!$B$2:$B$109,0))</f>
        <v/>
      </c>
      <c r="K114" s="2">
        <f>INDEX('3_Curadoria'!$H$2:$H$109,MATCH(C114,'3_Curadoria'!$B$2:$B$109,0))</f>
        <v/>
      </c>
    </row>
    <row r="115">
      <c r="A115" s="37" t="n">
        <v>114</v>
      </c>
      <c r="B115" s="5" t="inlineStr">
        <is>
          <t>2-Butanone, 4-(2,6,6-trimethyl-2-cyclohexen-1-yl)- from NIST14</t>
        </is>
      </c>
      <c r="C115" s="5" t="inlineStr">
        <is>
          <t>Dihydro-alpha-ionone</t>
        </is>
      </c>
      <c r="D115" s="37" t="inlineStr">
        <is>
          <t>NIST14</t>
        </is>
      </c>
      <c r="E115" s="37" t="inlineStr"/>
      <c r="F115" s="37" t="inlineStr">
        <is>
          <t>Não informada</t>
        </is>
      </c>
      <c r="G115" s="5" t="inlineStr">
        <is>
          <t>sufixo de biblioteca no nome</t>
        </is>
      </c>
      <c r="H115" s="2">
        <f>COUNTIF($C$2:$C$149,C115)</f>
        <v/>
      </c>
      <c r="I115" s="2">
        <f>IF(COUNTIF($C$2:C115,C115)&gt;1,"Sim","Não")</f>
        <v/>
      </c>
      <c r="J115" s="2">
        <f>INDEX('3_Curadoria'!$F$2:$F$109,MATCH(C115,'3_Curadoria'!$B$2:$B$109,0))</f>
        <v/>
      </c>
      <c r="K115" s="2">
        <f>INDEX('3_Curadoria'!$H$2:$H$109,MATCH(C115,'3_Curadoria'!$B$2:$B$109,0))</f>
        <v/>
      </c>
    </row>
    <row r="116">
      <c r="A116" s="37" t="n">
        <v>115</v>
      </c>
      <c r="B116" s="5" t="inlineStr">
        <is>
          <t>3,4,5-Trimethoxycinnamic acid from NIST14</t>
        </is>
      </c>
      <c r="C116" s="5" t="inlineStr">
        <is>
          <t>3,4,5-Trimethoxycinnamic acid</t>
        </is>
      </c>
      <c r="D116" s="37" t="inlineStr">
        <is>
          <t>NIST14</t>
        </is>
      </c>
      <c r="E116" s="37" t="inlineStr"/>
      <c r="F116" s="37" t="inlineStr">
        <is>
          <t>Não informada</t>
        </is>
      </c>
      <c r="G116" s="5" t="inlineStr">
        <is>
          <t>sufixo de biblioteca no nome</t>
        </is>
      </c>
      <c r="H116" s="2">
        <f>COUNTIF($C$2:$C$149,C116)</f>
        <v/>
      </c>
      <c r="I116" s="2">
        <f>IF(COUNTIF($C$2:C116,C116)&gt;1,"Sim","Não")</f>
        <v/>
      </c>
      <c r="J116" s="2">
        <f>INDEX('3_Curadoria'!$F$2:$F$109,MATCH(C116,'3_Curadoria'!$B$2:$B$109,0))</f>
        <v/>
      </c>
      <c r="K116" s="2">
        <f>INDEX('3_Curadoria'!$H$2:$H$109,MATCH(C116,'3_Curadoria'!$B$2:$B$109,0))</f>
        <v/>
      </c>
    </row>
    <row r="117">
      <c r="A117" s="37" t="n">
        <v>116</v>
      </c>
      <c r="B117" s="5" t="inlineStr">
        <is>
          <t>3-Hydroxyoctadecanoic Acid from NIST14</t>
        </is>
      </c>
      <c r="C117" s="5" t="inlineStr">
        <is>
          <t>3-Hydroxyoctadecanoic acid</t>
        </is>
      </c>
      <c r="D117" s="37" t="inlineStr">
        <is>
          <t>NIST14</t>
        </is>
      </c>
      <c r="E117" s="37" t="inlineStr"/>
      <c r="F117" s="37" t="inlineStr">
        <is>
          <t>Não informada</t>
        </is>
      </c>
      <c r="G117" s="5" t="inlineStr">
        <is>
          <t>sufixo de biblioteca no nome</t>
        </is>
      </c>
      <c r="H117" s="2">
        <f>COUNTIF($C$2:$C$149,C117)</f>
        <v/>
      </c>
      <c r="I117" s="2">
        <f>IF(COUNTIF($C$2:C117,C117)&gt;1,"Sim","Não")</f>
        <v/>
      </c>
      <c r="J117" s="2">
        <f>INDEX('3_Curadoria'!$F$2:$F$109,MATCH(C117,'3_Curadoria'!$B$2:$B$109,0))</f>
        <v/>
      </c>
      <c r="K117" s="2">
        <f>INDEX('3_Curadoria'!$H$2:$H$109,MATCH(C117,'3_Curadoria'!$B$2:$B$109,0))</f>
        <v/>
      </c>
    </row>
    <row r="118">
      <c r="A118" s="37" t="n">
        <v>117</v>
      </c>
      <c r="B118" s="5" t="inlineStr">
        <is>
          <t>9(10)-EpOME from NIST14</t>
        </is>
      </c>
      <c r="C118" s="5" t="inlineStr">
        <is>
          <t>9(10)-EpOME</t>
        </is>
      </c>
      <c r="D118" s="37" t="inlineStr">
        <is>
          <t>NIST14</t>
        </is>
      </c>
      <c r="E118" s="37" t="inlineStr"/>
      <c r="F118" s="37" t="inlineStr">
        <is>
          <t>Não informada</t>
        </is>
      </c>
      <c r="G118" s="5" t="inlineStr">
        <is>
          <t>sufixo de biblioteca no nome</t>
        </is>
      </c>
      <c r="H118" s="2">
        <f>COUNTIF($C$2:$C$149,C118)</f>
        <v/>
      </c>
      <c r="I118" s="2">
        <f>IF(COUNTIF($C$2:C118,C118)&gt;1,"Sim","Não")</f>
        <v/>
      </c>
      <c r="J118" s="2">
        <f>INDEX('3_Curadoria'!$F$2:$F$109,MATCH(C118,'3_Curadoria'!$B$2:$B$109,0))</f>
        <v/>
      </c>
      <c r="K118" s="2">
        <f>INDEX('3_Curadoria'!$H$2:$H$109,MATCH(C118,'3_Curadoria'!$B$2:$B$109,0))</f>
        <v/>
      </c>
    </row>
    <row r="119">
      <c r="A119" s="37" t="n">
        <v>118</v>
      </c>
      <c r="B119" s="5" t="inlineStr">
        <is>
          <t>9-Octadecenamide, (Z)- from NIST14</t>
        </is>
      </c>
      <c r="C119" s="5" t="inlineStr">
        <is>
          <t>Oleamide</t>
        </is>
      </c>
      <c r="D119" s="37" t="inlineStr">
        <is>
          <t>NIST14</t>
        </is>
      </c>
      <c r="E119" s="37" t="inlineStr"/>
      <c r="F119" s="37" t="inlineStr">
        <is>
          <t>Não informada</t>
        </is>
      </c>
      <c r="G119" s="5" t="inlineStr">
        <is>
          <t>sufixo de biblioteca no nome</t>
        </is>
      </c>
      <c r="H119" s="2">
        <f>COUNTIF($C$2:$C$149,C119)</f>
        <v/>
      </c>
      <c r="I119" s="2">
        <f>IF(COUNTIF($C$2:C119,C119)&gt;1,"Sim","Não")</f>
        <v/>
      </c>
      <c r="J119" s="2">
        <f>INDEX('3_Curadoria'!$F$2:$F$109,MATCH(C119,'3_Curadoria'!$B$2:$B$109,0))</f>
        <v/>
      </c>
      <c r="K119" s="2">
        <f>INDEX('3_Curadoria'!$H$2:$H$109,MATCH(C119,'3_Curadoria'!$B$2:$B$109,0))</f>
        <v/>
      </c>
    </row>
    <row r="120">
      <c r="A120" s="37" t="n">
        <v>119</v>
      </c>
      <c r="B120" s="5" t="inlineStr">
        <is>
          <t>9(S)-HpOTrE from NIST14</t>
        </is>
      </c>
      <c r="C120" s="5" t="inlineStr">
        <is>
          <t>9(S)-HpOTrE</t>
        </is>
      </c>
      <c r="D120" s="37" t="inlineStr">
        <is>
          <t>NIST14</t>
        </is>
      </c>
      <c r="E120" s="37" t="inlineStr"/>
      <c r="F120" s="37" t="inlineStr">
        <is>
          <t>Não informada</t>
        </is>
      </c>
      <c r="G120" s="5" t="inlineStr">
        <is>
          <t>sufixo de biblioteca no nome</t>
        </is>
      </c>
      <c r="H120" s="2">
        <f>COUNTIF($C$2:$C$149,C120)</f>
        <v/>
      </c>
      <c r="I120" s="2">
        <f>IF(COUNTIF($C$2:C120,C120)&gt;1,"Sim","Não")</f>
        <v/>
      </c>
      <c r="J120" s="2">
        <f>INDEX('3_Curadoria'!$F$2:$F$109,MATCH(C120,'3_Curadoria'!$B$2:$B$109,0))</f>
        <v/>
      </c>
      <c r="K120" s="2">
        <f>INDEX('3_Curadoria'!$H$2:$H$109,MATCH(C120,'3_Curadoria'!$B$2:$B$109,0))</f>
        <v/>
      </c>
    </row>
    <row r="121">
      <c r="A121" s="37" t="n">
        <v>120</v>
      </c>
      <c r="B121" s="5" t="inlineStr">
        <is>
          <t>9Z,11E,13E-Octadecatrienoic acid methyl ester from NIST14</t>
        </is>
      </c>
      <c r="C121" s="5" t="inlineStr">
        <is>
          <t>Methyl (9Z,11E,13E)-octadecatrienoate</t>
        </is>
      </c>
      <c r="D121" s="37" t="inlineStr">
        <is>
          <t>NIST14</t>
        </is>
      </c>
      <c r="E121" s="37" t="inlineStr"/>
      <c r="F121" s="37" t="inlineStr">
        <is>
          <t>Não informada</t>
        </is>
      </c>
      <c r="G121" s="5" t="inlineStr">
        <is>
          <t>sufixo de biblioteca no nome</t>
        </is>
      </c>
      <c r="H121" s="2">
        <f>COUNTIF($C$2:$C$149,C121)</f>
        <v/>
      </c>
      <c r="I121" s="2">
        <f>IF(COUNTIF($C$2:C121,C121)&gt;1,"Sim","Não")</f>
        <v/>
      </c>
      <c r="J121" s="2">
        <f>INDEX('3_Curadoria'!$F$2:$F$109,MATCH(C121,'3_Curadoria'!$B$2:$B$109,0))</f>
        <v/>
      </c>
      <c r="K121" s="2">
        <f>INDEX('3_Curadoria'!$H$2:$H$109,MATCH(C121,'3_Curadoria'!$B$2:$B$109,0))</f>
        <v/>
      </c>
    </row>
    <row r="122">
      <c r="A122" s="37" t="n">
        <v>121</v>
      </c>
      <c r="B122" s="5" t="inlineStr">
        <is>
          <t>Abrine from NIST14</t>
        </is>
      </c>
      <c r="C122" s="5" t="inlineStr">
        <is>
          <t>Abrine (N-methyl-L-tryptophan)</t>
        </is>
      </c>
      <c r="D122" s="37" t="inlineStr">
        <is>
          <t>NIST14</t>
        </is>
      </c>
      <c r="E122" s="37" t="inlineStr"/>
      <c r="F122" s="37" t="inlineStr">
        <is>
          <t>Não informada</t>
        </is>
      </c>
      <c r="G122" s="5" t="inlineStr">
        <is>
          <t>sufixo de biblioteca no nome</t>
        </is>
      </c>
      <c r="H122" s="2">
        <f>COUNTIF($C$2:$C$149,C122)</f>
        <v/>
      </c>
      <c r="I122" s="2">
        <f>IF(COUNTIF($C$2:C122,C122)&gt;1,"Sim","Não")</f>
        <v/>
      </c>
      <c r="J122" s="2">
        <f>INDEX('3_Curadoria'!$F$2:$F$109,MATCH(C122,'3_Curadoria'!$B$2:$B$109,0))</f>
        <v/>
      </c>
      <c r="K122" s="2">
        <f>INDEX('3_Curadoria'!$H$2:$H$109,MATCH(C122,'3_Curadoria'!$B$2:$B$109,0))</f>
        <v/>
      </c>
    </row>
    <row r="123">
      <c r="A123" s="37" t="n">
        <v>122</v>
      </c>
      <c r="B123" s="5" t="inlineStr">
        <is>
          <t>Adenosine, 5'-S-methyl-5'-thio- from NIST14</t>
        </is>
      </c>
      <c r="C123" s="5" t="inlineStr">
        <is>
          <t>5'-Methylthioadenosine (MTA)</t>
        </is>
      </c>
      <c r="D123" s="37" t="inlineStr">
        <is>
          <t>NIST14</t>
        </is>
      </c>
      <c r="E123" s="37" t="inlineStr"/>
      <c r="F123" s="37" t="inlineStr">
        <is>
          <t>Não informada</t>
        </is>
      </c>
      <c r="G123" s="5" t="inlineStr">
        <is>
          <t>sufixo de biblioteca no nome</t>
        </is>
      </c>
      <c r="H123" s="2">
        <f>COUNTIF($C$2:$C$149,C123)</f>
        <v/>
      </c>
      <c r="I123" s="2">
        <f>IF(COUNTIF($C$2:C123,C123)&gt;1,"Sim","Não")</f>
        <v/>
      </c>
      <c r="J123" s="2">
        <f>INDEX('3_Curadoria'!$F$2:$F$109,MATCH(C123,'3_Curadoria'!$B$2:$B$109,0))</f>
        <v/>
      </c>
      <c r="K123" s="2">
        <f>INDEX('3_Curadoria'!$H$2:$H$109,MATCH(C123,'3_Curadoria'!$B$2:$B$109,0))</f>
        <v/>
      </c>
    </row>
    <row r="124">
      <c r="A124" s="37" t="n">
        <v>123</v>
      </c>
      <c r="B124" s="5" t="inlineStr">
        <is>
          <t>Choline cation from NIST14</t>
        </is>
      </c>
      <c r="C124" s="5" t="inlineStr">
        <is>
          <t>Choline</t>
        </is>
      </c>
      <c r="D124" s="37" t="inlineStr">
        <is>
          <t>NIST14</t>
        </is>
      </c>
      <c r="E124" s="37" t="inlineStr"/>
      <c r="F124" s="37" t="inlineStr">
        <is>
          <t>Não informada</t>
        </is>
      </c>
      <c r="G124" s="5" t="inlineStr">
        <is>
          <t>sufixo de biblioteca no nome</t>
        </is>
      </c>
      <c r="H124" s="2">
        <f>COUNTIF($C$2:$C$149,C124)</f>
        <v/>
      </c>
      <c r="I124" s="2">
        <f>IF(COUNTIF($C$2:C124,C124)&gt;1,"Sim","Não")</f>
        <v/>
      </c>
      <c r="J124" s="2">
        <f>INDEX('3_Curadoria'!$F$2:$F$109,MATCH(C124,'3_Curadoria'!$B$2:$B$109,0))</f>
        <v/>
      </c>
      <c r="K124" s="2">
        <f>INDEX('3_Curadoria'!$H$2:$H$109,MATCH(C124,'3_Curadoria'!$B$2:$B$109,0))</f>
        <v/>
      </c>
    </row>
    <row r="125">
      <c r="A125" s="37" t="n">
        <v>124</v>
      </c>
      <c r="B125" s="5" t="inlineStr">
        <is>
          <t>Di-.gamma.-linolenin (6c,9c,12c) from NIST14</t>
        </is>
      </c>
      <c r="C125" s="5" t="inlineStr">
        <is>
          <t>Dilinolenin (DAG 18:3/18:3)</t>
        </is>
      </c>
      <c r="D125" s="37" t="inlineStr">
        <is>
          <t>NIST14</t>
        </is>
      </c>
      <c r="E125" s="37" t="inlineStr"/>
      <c r="F125" s="37" t="inlineStr">
        <is>
          <t>Não informada</t>
        </is>
      </c>
      <c r="G125" s="5" t="inlineStr">
        <is>
          <t>sufixo de biblioteca no nome</t>
        </is>
      </c>
      <c r="H125" s="2">
        <f>COUNTIF($C$2:$C$149,C125)</f>
        <v/>
      </c>
      <c r="I125" s="2">
        <f>IF(COUNTIF($C$2:C125,C125)&gt;1,"Sim","Não")</f>
        <v/>
      </c>
      <c r="J125" s="2">
        <f>INDEX('3_Curadoria'!$F$2:$F$109,MATCH(C125,'3_Curadoria'!$B$2:$B$109,0))</f>
        <v/>
      </c>
      <c r="K125" s="2">
        <f>INDEX('3_Curadoria'!$H$2:$H$109,MATCH(C125,'3_Curadoria'!$B$2:$B$109,0))</f>
        <v/>
      </c>
    </row>
    <row r="126">
      <c r="A126" s="37" t="n">
        <v>125</v>
      </c>
      <c r="B126" s="5" t="inlineStr">
        <is>
          <t>Diphenylamine from NIST14</t>
        </is>
      </c>
      <c r="C126" s="5" t="inlineStr">
        <is>
          <t>Diphenylamine</t>
        </is>
      </c>
      <c r="D126" s="37" t="inlineStr">
        <is>
          <t>NIST14</t>
        </is>
      </c>
      <c r="E126" s="37" t="inlineStr"/>
      <c r="F126" s="37" t="inlineStr">
        <is>
          <t>Não informada</t>
        </is>
      </c>
      <c r="G126" s="5" t="inlineStr">
        <is>
          <t>sufixo de biblioteca no nome</t>
        </is>
      </c>
      <c r="H126" s="2">
        <f>COUNTIF($C$2:$C$149,C126)</f>
        <v/>
      </c>
      <c r="I126" s="2">
        <f>IF(COUNTIF($C$2:C126,C126)&gt;1,"Sim","Não")</f>
        <v/>
      </c>
      <c r="J126" s="2">
        <f>INDEX('3_Curadoria'!$F$2:$F$109,MATCH(C126,'3_Curadoria'!$B$2:$B$109,0))</f>
        <v/>
      </c>
      <c r="K126" s="2">
        <f>INDEX('3_Curadoria'!$H$2:$H$109,MATCH(C126,'3_Curadoria'!$B$2:$B$109,0))</f>
        <v/>
      </c>
    </row>
    <row r="127">
      <c r="A127" s="37" t="n">
        <v>126</v>
      </c>
      <c r="B127" s="5" t="inlineStr">
        <is>
          <t>Gly-Leu from NIST14</t>
        </is>
      </c>
      <c r="C127" s="5" t="inlineStr">
        <is>
          <t>Gly-Leu</t>
        </is>
      </c>
      <c r="D127" s="37" t="inlineStr">
        <is>
          <t>NIST14</t>
        </is>
      </c>
      <c r="E127" s="37" t="inlineStr"/>
      <c r="F127" s="37" t="inlineStr">
        <is>
          <t>Não informada</t>
        </is>
      </c>
      <c r="G127" s="5" t="inlineStr">
        <is>
          <t>sufixo de biblioteca no nome</t>
        </is>
      </c>
      <c r="H127" s="2">
        <f>COUNTIF($C$2:$C$149,C127)</f>
        <v/>
      </c>
      <c r="I127" s="2">
        <f>IF(COUNTIF($C$2:C127,C127)&gt;1,"Sim","Não")</f>
        <v/>
      </c>
      <c r="J127" s="2">
        <f>INDEX('3_Curadoria'!$F$2:$F$109,MATCH(C127,'3_Curadoria'!$B$2:$B$109,0))</f>
        <v/>
      </c>
      <c r="K127" s="2">
        <f>INDEX('3_Curadoria'!$H$2:$H$109,MATCH(C127,'3_Curadoria'!$B$2:$B$109,0))</f>
        <v/>
      </c>
    </row>
    <row r="128">
      <c r="A128" s="37" t="n">
        <v>127</v>
      </c>
      <c r="B128" s="5" t="inlineStr">
        <is>
          <t>Gly-Phe from NIST14</t>
        </is>
      </c>
      <c r="C128" s="5" t="inlineStr">
        <is>
          <t>Gly-Phe</t>
        </is>
      </c>
      <c r="D128" s="37" t="inlineStr">
        <is>
          <t>NIST14</t>
        </is>
      </c>
      <c r="E128" s="37" t="inlineStr"/>
      <c r="F128" s="37" t="inlineStr">
        <is>
          <t>Não informada</t>
        </is>
      </c>
      <c r="G128" s="5" t="inlineStr">
        <is>
          <t>sufixo de biblioteca no nome</t>
        </is>
      </c>
      <c r="H128" s="2">
        <f>COUNTIF($C$2:$C$149,C128)</f>
        <v/>
      </c>
      <c r="I128" s="2">
        <f>IF(COUNTIF($C$2:C128,C128)&gt;1,"Sim","Não")</f>
        <v/>
      </c>
      <c r="J128" s="2">
        <f>INDEX('3_Curadoria'!$F$2:$F$109,MATCH(C128,'3_Curadoria'!$B$2:$B$109,0))</f>
        <v/>
      </c>
      <c r="K128" s="2">
        <f>INDEX('3_Curadoria'!$H$2:$H$109,MATCH(C128,'3_Curadoria'!$B$2:$B$109,0))</f>
        <v/>
      </c>
    </row>
    <row r="129">
      <c r="A129" s="37" t="n">
        <v>128</v>
      </c>
      <c r="B129" s="5" t="inlineStr">
        <is>
          <t>Harmane from NIST14</t>
        </is>
      </c>
      <c r="C129" s="5" t="inlineStr">
        <is>
          <t>Harmane</t>
        </is>
      </c>
      <c r="D129" s="37" t="inlineStr">
        <is>
          <t>NIST14</t>
        </is>
      </c>
      <c r="E129" s="37" t="inlineStr"/>
      <c r="F129" s="37" t="inlineStr">
        <is>
          <t>Não informada</t>
        </is>
      </c>
      <c r="G129" s="5" t="inlineStr">
        <is>
          <t>sufixo de biblioteca no nome</t>
        </is>
      </c>
      <c r="H129" s="2">
        <f>COUNTIF($C$2:$C$149,C129)</f>
        <v/>
      </c>
      <c r="I129" s="2">
        <f>IF(COUNTIF($C$2:C129,C129)&gt;1,"Sim","Não")</f>
        <v/>
      </c>
      <c r="J129" s="2">
        <f>INDEX('3_Curadoria'!$F$2:$F$109,MATCH(C129,'3_Curadoria'!$B$2:$B$109,0))</f>
        <v/>
      </c>
      <c r="K129" s="2">
        <f>INDEX('3_Curadoria'!$H$2:$H$109,MATCH(C129,'3_Curadoria'!$B$2:$B$109,0))</f>
        <v/>
      </c>
    </row>
    <row r="130">
      <c r="A130" s="37" t="n">
        <v>129</v>
      </c>
      <c r="B130" s="5" t="inlineStr">
        <is>
          <t>Ile-Ile-Lys from NIST14</t>
        </is>
      </c>
      <c r="C130" s="5" t="inlineStr">
        <is>
          <t>Ile-Ile-Lys</t>
        </is>
      </c>
      <c r="D130" s="37" t="inlineStr">
        <is>
          <t>NIST14</t>
        </is>
      </c>
      <c r="E130" s="37" t="inlineStr"/>
      <c r="F130" s="37" t="inlineStr">
        <is>
          <t>Não informada</t>
        </is>
      </c>
      <c r="G130" s="5" t="inlineStr">
        <is>
          <t>sufixo de biblioteca no nome</t>
        </is>
      </c>
      <c r="H130" s="2">
        <f>COUNTIF($C$2:$C$149,C130)</f>
        <v/>
      </c>
      <c r="I130" s="2">
        <f>IF(COUNTIF($C$2:C130,C130)&gt;1,"Sim","Não")</f>
        <v/>
      </c>
      <c r="J130" s="2">
        <f>INDEX('3_Curadoria'!$F$2:$F$109,MATCH(C130,'3_Curadoria'!$B$2:$B$109,0))</f>
        <v/>
      </c>
      <c r="K130" s="2">
        <f>INDEX('3_Curadoria'!$H$2:$H$109,MATCH(C130,'3_Curadoria'!$B$2:$B$109,0))</f>
        <v/>
      </c>
    </row>
    <row r="131">
      <c r="A131" s="37" t="n">
        <v>130</v>
      </c>
      <c r="B131" s="5" t="inlineStr">
        <is>
          <t>Ile-Pro from NIST14</t>
        </is>
      </c>
      <c r="C131" s="5" t="inlineStr">
        <is>
          <t>Ile-Pro</t>
        </is>
      </c>
      <c r="D131" s="37" t="inlineStr">
        <is>
          <t>NIST14</t>
        </is>
      </c>
      <c r="E131" s="37" t="inlineStr"/>
      <c r="F131" s="37" t="inlineStr">
        <is>
          <t>Não informada</t>
        </is>
      </c>
      <c r="G131" s="5" t="inlineStr">
        <is>
          <t>sufixo de biblioteca no nome</t>
        </is>
      </c>
      <c r="H131" s="2">
        <f>COUNTIF($C$2:$C$149,C131)</f>
        <v/>
      </c>
      <c r="I131" s="2">
        <f>IF(COUNTIF($C$2:C131,C131)&gt;1,"Sim","Não")</f>
        <v/>
      </c>
      <c r="J131" s="2">
        <f>INDEX('3_Curadoria'!$F$2:$F$109,MATCH(C131,'3_Curadoria'!$B$2:$B$109,0))</f>
        <v/>
      </c>
      <c r="K131" s="2">
        <f>INDEX('3_Curadoria'!$H$2:$H$109,MATCH(C131,'3_Curadoria'!$B$2:$B$109,0))</f>
        <v/>
      </c>
    </row>
    <row r="132">
      <c r="A132" s="37" t="n">
        <v>131</v>
      </c>
      <c r="B132" s="5" t="inlineStr">
        <is>
          <t>Leu-Pro from NIST14</t>
        </is>
      </c>
      <c r="C132" s="5" t="inlineStr">
        <is>
          <t>Leu-Pro</t>
        </is>
      </c>
      <c r="D132" s="37" t="inlineStr">
        <is>
          <t>NIST14</t>
        </is>
      </c>
      <c r="E132" s="37" t="inlineStr"/>
      <c r="F132" s="37" t="inlineStr">
        <is>
          <t>Não informada</t>
        </is>
      </c>
      <c r="G132" s="5" t="inlineStr">
        <is>
          <t>sufixo de biblioteca no nome</t>
        </is>
      </c>
      <c r="H132" s="2">
        <f>COUNTIF($C$2:$C$149,C132)</f>
        <v/>
      </c>
      <c r="I132" s="2">
        <f>IF(COUNTIF($C$2:C132,C132)&gt;1,"Sim","Não")</f>
        <v/>
      </c>
      <c r="J132" s="2">
        <f>INDEX('3_Curadoria'!$F$2:$F$109,MATCH(C132,'3_Curadoria'!$B$2:$B$109,0))</f>
        <v/>
      </c>
      <c r="K132" s="2">
        <f>INDEX('3_Curadoria'!$H$2:$H$109,MATCH(C132,'3_Curadoria'!$B$2:$B$109,0))</f>
        <v/>
      </c>
    </row>
    <row r="133">
      <c r="A133" s="37" t="n">
        <v>132</v>
      </c>
      <c r="B133" s="5" t="inlineStr">
        <is>
          <t>Lyso-PC(16:0) from NIST14</t>
        </is>
      </c>
      <c r="C133" s="5" t="inlineStr">
        <is>
          <t>LysoPC(16:0)</t>
        </is>
      </c>
      <c r="D133" s="37" t="inlineStr">
        <is>
          <t>NIST14</t>
        </is>
      </c>
      <c r="E133" s="37" t="inlineStr"/>
      <c r="F133" s="37" t="inlineStr">
        <is>
          <t>Não informada</t>
        </is>
      </c>
      <c r="G133" s="5" t="inlineStr">
        <is>
          <t>sufixo de biblioteca no nome</t>
        </is>
      </c>
      <c r="H133" s="2">
        <f>COUNTIF($C$2:$C$149,C133)</f>
        <v/>
      </c>
      <c r="I133" s="2">
        <f>IF(COUNTIF($C$2:C133,C133)&gt;1,"Sim","Não")</f>
        <v/>
      </c>
      <c r="J133" s="2">
        <f>INDEX('3_Curadoria'!$F$2:$F$109,MATCH(C133,'3_Curadoria'!$B$2:$B$109,0))</f>
        <v/>
      </c>
      <c r="K133" s="2">
        <f>INDEX('3_Curadoria'!$H$2:$H$109,MATCH(C133,'3_Curadoria'!$B$2:$B$109,0))</f>
        <v/>
      </c>
    </row>
    <row r="134">
      <c r="A134" s="37" t="n">
        <v>133</v>
      </c>
      <c r="B134" s="5" t="inlineStr">
        <is>
          <t>Met-Phe from NIST14</t>
        </is>
      </c>
      <c r="C134" s="5" t="inlineStr">
        <is>
          <t>Met-Phe</t>
        </is>
      </c>
      <c r="D134" s="37" t="inlineStr">
        <is>
          <t>NIST14</t>
        </is>
      </c>
      <c r="E134" s="37" t="inlineStr"/>
      <c r="F134" s="37" t="inlineStr">
        <is>
          <t>Não informada</t>
        </is>
      </c>
      <c r="G134" s="5" t="inlineStr">
        <is>
          <t>sufixo de biblioteca no nome</t>
        </is>
      </c>
      <c r="H134" s="2">
        <f>COUNTIF($C$2:$C$149,C134)</f>
        <v/>
      </c>
      <c r="I134" s="2">
        <f>IF(COUNTIF($C$2:C134,C134)&gt;1,"Sim","Não")</f>
        <v/>
      </c>
      <c r="J134" s="2">
        <f>INDEX('3_Curadoria'!$F$2:$F$109,MATCH(C134,'3_Curadoria'!$B$2:$B$109,0))</f>
        <v/>
      </c>
      <c r="K134" s="2">
        <f>INDEX('3_Curadoria'!$H$2:$H$109,MATCH(C134,'3_Curadoria'!$B$2:$B$109,0))</f>
        <v/>
      </c>
    </row>
    <row r="135">
      <c r="A135" s="37" t="n">
        <v>134</v>
      </c>
      <c r="B135" s="5" t="inlineStr">
        <is>
          <t>Phe-Pro from NIST14</t>
        </is>
      </c>
      <c r="C135" s="5" t="inlineStr">
        <is>
          <t>Phe-Pro</t>
        </is>
      </c>
      <c r="D135" s="37" t="inlineStr">
        <is>
          <t>NIST14</t>
        </is>
      </c>
      <c r="E135" s="37" t="inlineStr"/>
      <c r="F135" s="37" t="inlineStr">
        <is>
          <t>Não informada</t>
        </is>
      </c>
      <c r="G135" s="5" t="inlineStr">
        <is>
          <t>sufixo de biblioteca no nome</t>
        </is>
      </c>
      <c r="H135" s="2">
        <f>COUNTIF($C$2:$C$149,C135)</f>
        <v/>
      </c>
      <c r="I135" s="2">
        <f>IF(COUNTIF($C$2:C135,C135)&gt;1,"Sim","Não")</f>
        <v/>
      </c>
      <c r="J135" s="2">
        <f>INDEX('3_Curadoria'!$F$2:$F$109,MATCH(C135,'3_Curadoria'!$B$2:$B$109,0))</f>
        <v/>
      </c>
      <c r="K135" s="2">
        <f>INDEX('3_Curadoria'!$H$2:$H$109,MATCH(C135,'3_Curadoria'!$B$2:$B$109,0))</f>
        <v/>
      </c>
    </row>
    <row r="136">
      <c r="A136" s="37" t="n">
        <v>135</v>
      </c>
      <c r="B136" s="5" t="inlineStr">
        <is>
          <t>Pro-Phe from NIST14</t>
        </is>
      </c>
      <c r="C136" s="5" t="inlineStr">
        <is>
          <t>Pro-Phe</t>
        </is>
      </c>
      <c r="D136" s="37" t="inlineStr">
        <is>
          <t>NIST14</t>
        </is>
      </c>
      <c r="E136" s="37" t="inlineStr"/>
      <c r="F136" s="37" t="inlineStr">
        <is>
          <t>Não informada</t>
        </is>
      </c>
      <c r="G136" s="5" t="inlineStr">
        <is>
          <t>sufixo de biblioteca no nome</t>
        </is>
      </c>
      <c r="H136" s="2">
        <f>COUNTIF($C$2:$C$149,C136)</f>
        <v/>
      </c>
      <c r="I136" s="2">
        <f>IF(COUNTIF($C$2:C136,C136)&gt;1,"Sim","Não")</f>
        <v/>
      </c>
      <c r="J136" s="2">
        <f>INDEX('3_Curadoria'!$F$2:$F$109,MATCH(C136,'3_Curadoria'!$B$2:$B$109,0))</f>
        <v/>
      </c>
      <c r="K136" s="2">
        <f>INDEX('3_Curadoria'!$H$2:$H$109,MATCH(C136,'3_Curadoria'!$B$2:$B$109,0))</f>
        <v/>
      </c>
    </row>
    <row r="137">
      <c r="A137" s="37" t="n">
        <v>136</v>
      </c>
      <c r="B137" s="5" t="inlineStr">
        <is>
          <t>PyroGlu-Pro from NIST14</t>
        </is>
      </c>
      <c r="C137" s="5" t="inlineStr">
        <is>
          <t>pyroGlu-Pro</t>
        </is>
      </c>
      <c r="D137" s="37" t="inlineStr">
        <is>
          <t>NIST14</t>
        </is>
      </c>
      <c r="E137" s="37" t="inlineStr"/>
      <c r="F137" s="37" t="inlineStr">
        <is>
          <t>Não informada</t>
        </is>
      </c>
      <c r="G137" s="5" t="inlineStr">
        <is>
          <t>sufixo de biblioteca no nome</t>
        </is>
      </c>
      <c r="H137" s="2">
        <f>COUNTIF($C$2:$C$149,C137)</f>
        <v/>
      </c>
      <c r="I137" s="2">
        <f>IF(COUNTIF($C$2:C137,C137)&gt;1,"Sim","Não")</f>
        <v/>
      </c>
      <c r="J137" s="2">
        <f>INDEX('3_Curadoria'!$F$2:$F$109,MATCH(C137,'3_Curadoria'!$B$2:$B$109,0))</f>
        <v/>
      </c>
      <c r="K137" s="2">
        <f>INDEX('3_Curadoria'!$H$2:$H$109,MATCH(C137,'3_Curadoria'!$B$2:$B$109,0))</f>
        <v/>
      </c>
    </row>
    <row r="138">
      <c r="A138" s="37" t="n">
        <v>137</v>
      </c>
      <c r="B138" s="5" t="inlineStr">
        <is>
          <t>PyroGlu-Val from NIST14</t>
        </is>
      </c>
      <c r="C138" s="5" t="inlineStr">
        <is>
          <t>pyroGlu-Val</t>
        </is>
      </c>
      <c r="D138" s="37" t="inlineStr">
        <is>
          <t>NIST14</t>
        </is>
      </c>
      <c r="E138" s="37" t="inlineStr"/>
      <c r="F138" s="37" t="inlineStr">
        <is>
          <t>Não informada</t>
        </is>
      </c>
      <c r="G138" s="5" t="inlineStr">
        <is>
          <t>sufixo de biblioteca no nome</t>
        </is>
      </c>
      <c r="H138" s="2">
        <f>COUNTIF($C$2:$C$149,C138)</f>
        <v/>
      </c>
      <c r="I138" s="2">
        <f>IF(COUNTIF($C$2:C138,C138)&gt;1,"Sim","Não")</f>
        <v/>
      </c>
      <c r="J138" s="2">
        <f>INDEX('3_Curadoria'!$F$2:$F$109,MATCH(C138,'3_Curadoria'!$B$2:$B$109,0))</f>
        <v/>
      </c>
      <c r="K138" s="2">
        <f>INDEX('3_Curadoria'!$H$2:$H$109,MATCH(C138,'3_Curadoria'!$B$2:$B$109,0))</f>
        <v/>
      </c>
    </row>
    <row r="139">
      <c r="A139" s="37" t="n">
        <v>138</v>
      </c>
      <c r="B139" s="5" t="inlineStr">
        <is>
          <t>Syringaldehyde from NIST14</t>
        </is>
      </c>
      <c r="C139" s="5" t="inlineStr">
        <is>
          <t>Syringaldehyde</t>
        </is>
      </c>
      <c r="D139" s="37" t="inlineStr">
        <is>
          <t>NIST14</t>
        </is>
      </c>
      <c r="E139" s="37" t="inlineStr"/>
      <c r="F139" s="37" t="inlineStr">
        <is>
          <t>Não informada</t>
        </is>
      </c>
      <c r="G139" s="5" t="inlineStr">
        <is>
          <t>sufixo de biblioteca no nome</t>
        </is>
      </c>
      <c r="H139" s="2">
        <f>COUNTIF($C$2:$C$149,C139)</f>
        <v/>
      </c>
      <c r="I139" s="2">
        <f>IF(COUNTIF($C$2:C139,C139)&gt;1,"Sim","Não")</f>
        <v/>
      </c>
      <c r="J139" s="2">
        <f>INDEX('3_Curadoria'!$F$2:$F$109,MATCH(C139,'3_Curadoria'!$B$2:$B$109,0))</f>
        <v/>
      </c>
      <c r="K139" s="2">
        <f>INDEX('3_Curadoria'!$H$2:$H$109,MATCH(C139,'3_Curadoria'!$B$2:$B$109,0))</f>
        <v/>
      </c>
    </row>
    <row r="140">
      <c r="A140" s="37" t="n">
        <v>139</v>
      </c>
      <c r="B140" s="5" t="inlineStr">
        <is>
          <t>Syringic acid from NIST14</t>
        </is>
      </c>
      <c r="C140" s="5" t="inlineStr">
        <is>
          <t>Syringic acid</t>
        </is>
      </c>
      <c r="D140" s="37" t="inlineStr">
        <is>
          <t>NIST14</t>
        </is>
      </c>
      <c r="E140" s="37" t="inlineStr"/>
      <c r="F140" s="37" t="inlineStr">
        <is>
          <t>Não informada</t>
        </is>
      </c>
      <c r="G140" s="5" t="inlineStr">
        <is>
          <t>sufixo de biblioteca no nome</t>
        </is>
      </c>
      <c r="H140" s="2">
        <f>COUNTIF($C$2:$C$149,C140)</f>
        <v/>
      </c>
      <c r="I140" s="2">
        <f>IF(COUNTIF($C$2:C140,C140)&gt;1,"Sim","Não")</f>
        <v/>
      </c>
      <c r="J140" s="2">
        <f>INDEX('3_Curadoria'!$F$2:$F$109,MATCH(C140,'3_Curadoria'!$B$2:$B$109,0))</f>
        <v/>
      </c>
      <c r="K140" s="2">
        <f>INDEX('3_Curadoria'!$H$2:$H$109,MATCH(C140,'3_Curadoria'!$B$2:$B$109,0))</f>
        <v/>
      </c>
    </row>
    <row r="141">
      <c r="A141" s="37" t="n">
        <v>140</v>
      </c>
      <c r="B141" s="5" t="inlineStr">
        <is>
          <t>Theobromine from NIST14</t>
        </is>
      </c>
      <c r="C141" s="5" t="inlineStr">
        <is>
          <t>Theobromine</t>
        </is>
      </c>
      <c r="D141" s="37" t="inlineStr">
        <is>
          <t>NIST14</t>
        </is>
      </c>
      <c r="E141" s="37" t="inlineStr"/>
      <c r="F141" s="37" t="inlineStr">
        <is>
          <t>Não informada</t>
        </is>
      </c>
      <c r="G141" s="5" t="inlineStr">
        <is>
          <t>sufixo de biblioteca no nome</t>
        </is>
      </c>
      <c r="H141" s="2">
        <f>COUNTIF($C$2:$C$149,C141)</f>
        <v/>
      </c>
      <c r="I141" s="2">
        <f>IF(COUNTIF($C$2:C141,C141)&gt;1,"Sim","Não")</f>
        <v/>
      </c>
      <c r="J141" s="2">
        <f>INDEX('3_Curadoria'!$F$2:$F$109,MATCH(C141,'3_Curadoria'!$B$2:$B$109,0))</f>
        <v/>
      </c>
      <c r="K141" s="2">
        <f>INDEX('3_Curadoria'!$H$2:$H$109,MATCH(C141,'3_Curadoria'!$B$2:$B$109,0))</f>
        <v/>
      </c>
    </row>
    <row r="142">
      <c r="A142" s="37" t="n">
        <v>141</v>
      </c>
      <c r="B142" s="5" t="inlineStr">
        <is>
          <t>trans-Ferulic acid from NIST14</t>
        </is>
      </c>
      <c r="C142" s="5" t="inlineStr">
        <is>
          <t>Ferulic acid</t>
        </is>
      </c>
      <c r="D142" s="37" t="inlineStr">
        <is>
          <t>NIST14</t>
        </is>
      </c>
      <c r="E142" s="37" t="inlineStr"/>
      <c r="F142" s="37" t="inlineStr">
        <is>
          <t>Não informada</t>
        </is>
      </c>
      <c r="G142" s="5" t="inlineStr">
        <is>
          <t>sufixo de biblioteca no nome</t>
        </is>
      </c>
      <c r="H142" s="2">
        <f>COUNTIF($C$2:$C$149,C142)</f>
        <v/>
      </c>
      <c r="I142" s="2">
        <f>IF(COUNTIF($C$2:C142,C142)&gt;1,"Sim","Não")</f>
        <v/>
      </c>
      <c r="J142" s="2">
        <f>INDEX('3_Curadoria'!$F$2:$F$109,MATCH(C142,'3_Curadoria'!$B$2:$B$109,0))</f>
        <v/>
      </c>
      <c r="K142" s="2">
        <f>INDEX('3_Curadoria'!$H$2:$H$109,MATCH(C142,'3_Curadoria'!$B$2:$B$109,0))</f>
        <v/>
      </c>
    </row>
    <row r="143">
      <c r="A143" s="37" t="n">
        <v>142</v>
      </c>
      <c r="B143" s="5" t="inlineStr">
        <is>
          <t>Tyr-Val from NIST14</t>
        </is>
      </c>
      <c r="C143" s="5" t="inlineStr">
        <is>
          <t>Tyr-Val</t>
        </is>
      </c>
      <c r="D143" s="37" t="inlineStr">
        <is>
          <t>NIST14</t>
        </is>
      </c>
      <c r="E143" s="37" t="inlineStr"/>
      <c r="F143" s="37" t="inlineStr">
        <is>
          <t>Não informada</t>
        </is>
      </c>
      <c r="G143" s="5" t="inlineStr">
        <is>
          <t>sufixo de biblioteca no nome</t>
        </is>
      </c>
      <c r="H143" s="2">
        <f>COUNTIF($C$2:$C$149,C143)</f>
        <v/>
      </c>
      <c r="I143" s="2">
        <f>IF(COUNTIF($C$2:C143,C143)&gt;1,"Sim","Não")</f>
        <v/>
      </c>
      <c r="J143" s="2">
        <f>INDEX('3_Curadoria'!$F$2:$F$109,MATCH(C143,'3_Curadoria'!$B$2:$B$109,0))</f>
        <v/>
      </c>
      <c r="K143" s="2">
        <f>INDEX('3_Curadoria'!$H$2:$H$109,MATCH(C143,'3_Curadoria'!$B$2:$B$109,0))</f>
        <v/>
      </c>
    </row>
    <row r="144">
      <c r="A144" s="37" t="n">
        <v>143</v>
      </c>
      <c r="B144" s="5" t="inlineStr">
        <is>
          <t>THEOBROMINE</t>
        </is>
      </c>
      <c r="C144" s="5" t="inlineStr">
        <is>
          <t>Theobromine</t>
        </is>
      </c>
      <c r="D144" s="37" t="inlineStr">
        <is>
          <t>Não informada</t>
        </is>
      </c>
      <c r="E144" s="37" t="inlineStr"/>
      <c r="F144" s="37" t="inlineStr">
        <is>
          <t>Não informada</t>
        </is>
      </c>
      <c r="G144" s="5" t="inlineStr">
        <is>
          <t>caixa alta inconsistente</t>
        </is>
      </c>
      <c r="H144" s="2">
        <f>COUNTIF($C$2:$C$149,C144)</f>
        <v/>
      </c>
      <c r="I144" s="2">
        <f>IF(COUNTIF($C$2:C144,C144)&gt;1,"Sim","Não")</f>
        <v/>
      </c>
      <c r="J144" s="2">
        <f>INDEX('3_Curadoria'!$F$2:$F$109,MATCH(C144,'3_Curadoria'!$B$2:$B$109,0))</f>
        <v/>
      </c>
      <c r="K144" s="2">
        <f>INDEX('3_Curadoria'!$H$2:$H$109,MATCH(C144,'3_Curadoria'!$B$2:$B$109,0))</f>
        <v/>
      </c>
    </row>
    <row r="145">
      <c r="A145" s="37" t="n">
        <v>144</v>
      </c>
      <c r="B145" s="5" t="inlineStr">
        <is>
          <t>THEOBROMINE - 20.0 eV</t>
        </is>
      </c>
      <c r="C145" s="5" t="inlineStr">
        <is>
          <t>Theobromine</t>
        </is>
      </c>
      <c r="D145" s="37" t="inlineStr">
        <is>
          <t>Não informada</t>
        </is>
      </c>
      <c r="E145" s="37" t="inlineStr"/>
      <c r="F145" s="37" t="inlineStr">
        <is>
          <t>20 eV</t>
        </is>
      </c>
      <c r="G145" s="5" t="inlineStr">
        <is>
          <t>energia de colisão embutida no nome; caixa alta inconsistente</t>
        </is>
      </c>
      <c r="H145" s="2">
        <f>COUNTIF($C$2:$C$149,C145)</f>
        <v/>
      </c>
      <c r="I145" s="2">
        <f>IF(COUNTIF($C$2:C145,C145)&gt;1,"Sim","Não")</f>
        <v/>
      </c>
      <c r="J145" s="2">
        <f>INDEX('3_Curadoria'!$F$2:$F$109,MATCH(C145,'3_Curadoria'!$B$2:$B$109,0))</f>
        <v/>
      </c>
      <c r="K145" s="2">
        <f>INDEX('3_Curadoria'!$H$2:$H$109,MATCH(C145,'3_Curadoria'!$B$2:$B$109,0))</f>
        <v/>
      </c>
    </row>
    <row r="146">
      <c r="A146" s="37" t="n">
        <v>145</v>
      </c>
      <c r="B146" s="5" t="inlineStr">
        <is>
          <t>THEOBROMINE - 30.0 eV</t>
        </is>
      </c>
      <c r="C146" s="5" t="inlineStr">
        <is>
          <t>Theobromine</t>
        </is>
      </c>
      <c r="D146" s="37" t="inlineStr">
        <is>
          <t>Não informada</t>
        </is>
      </c>
      <c r="E146" s="37" t="inlineStr"/>
      <c r="F146" s="37" t="inlineStr">
        <is>
          <t>30 eV</t>
        </is>
      </c>
      <c r="G146" s="5" t="inlineStr">
        <is>
          <t>energia de colisão embutida no nome; caixa alta inconsistente</t>
        </is>
      </c>
      <c r="H146" s="2">
        <f>COUNTIF($C$2:$C$149,C146)</f>
        <v/>
      </c>
      <c r="I146" s="2">
        <f>IF(COUNTIF($C$2:C146,C146)&gt;1,"Sim","Não")</f>
        <v/>
      </c>
      <c r="J146" s="2">
        <f>INDEX('3_Curadoria'!$F$2:$F$109,MATCH(C146,'3_Curadoria'!$B$2:$B$109,0))</f>
        <v/>
      </c>
      <c r="K146" s="2">
        <f>INDEX('3_Curadoria'!$H$2:$H$109,MATCH(C146,'3_Curadoria'!$B$2:$B$109,0))</f>
        <v/>
      </c>
    </row>
    <row r="147">
      <c r="A147" s="37" t="n">
        <v>146</v>
      </c>
      <c r="B147" s="5" t="inlineStr">
        <is>
          <t>THEOPHYLLINE - 20.0 eV</t>
        </is>
      </c>
      <c r="C147" s="5" t="inlineStr">
        <is>
          <t>Theophylline</t>
        </is>
      </c>
      <c r="D147" s="37" t="inlineStr">
        <is>
          <t>Não informada</t>
        </is>
      </c>
      <c r="E147" s="37" t="inlineStr"/>
      <c r="F147" s="37" t="inlineStr">
        <is>
          <t>20 eV</t>
        </is>
      </c>
      <c r="G147" s="5" t="inlineStr">
        <is>
          <t>energia de colisão embutida no nome; caixa alta inconsistente</t>
        </is>
      </c>
      <c r="H147" s="2">
        <f>COUNTIF($C$2:$C$149,C147)</f>
        <v/>
      </c>
      <c r="I147" s="2">
        <f>IF(COUNTIF($C$2:C147,C147)&gt;1,"Sim","Não")</f>
        <v/>
      </c>
      <c r="J147" s="2">
        <f>INDEX('3_Curadoria'!$F$2:$F$109,MATCH(C147,'3_Curadoria'!$B$2:$B$109,0))</f>
        <v/>
      </c>
      <c r="K147" s="2">
        <f>INDEX('3_Curadoria'!$H$2:$H$109,MATCH(C147,'3_Curadoria'!$B$2:$B$109,0))</f>
        <v/>
      </c>
    </row>
    <row r="148">
      <c r="A148" s="37" t="n">
        <v>147</v>
      </c>
      <c r="B148" s="5" t="inlineStr">
        <is>
          <t>THYMINE</t>
        </is>
      </c>
      <c r="C148" s="5" t="inlineStr">
        <is>
          <t>Thymine</t>
        </is>
      </c>
      <c r="D148" s="37" t="inlineStr">
        <is>
          <t>Não informada</t>
        </is>
      </c>
      <c r="E148" s="37" t="inlineStr"/>
      <c r="F148" s="37" t="inlineStr">
        <is>
          <t>Não informada</t>
        </is>
      </c>
      <c r="G148" s="5" t="inlineStr">
        <is>
          <t>caixa alta inconsistente</t>
        </is>
      </c>
      <c r="H148" s="2">
        <f>COUNTIF($C$2:$C$149,C148)</f>
        <v/>
      </c>
      <c r="I148" s="2">
        <f>IF(COUNTIF($C$2:C148,C148)&gt;1,"Sim","Não")</f>
        <v/>
      </c>
      <c r="J148" s="2">
        <f>INDEX('3_Curadoria'!$F$2:$F$109,MATCH(C148,'3_Curadoria'!$B$2:$B$109,0))</f>
        <v/>
      </c>
      <c r="K148" s="2">
        <f>INDEX('3_Curadoria'!$H$2:$H$109,MATCH(C148,'3_Curadoria'!$B$2:$B$109,0))</f>
        <v/>
      </c>
    </row>
    <row r="149">
      <c r="A149" s="37" t="n">
        <v>148</v>
      </c>
      <c r="B149" s="5" t="inlineStr">
        <is>
          <t>THYMINE - 30.0 eV</t>
        </is>
      </c>
      <c r="C149" s="5" t="inlineStr">
        <is>
          <t>Thymine</t>
        </is>
      </c>
      <c r="D149" s="37" t="inlineStr">
        <is>
          <t>Não informada</t>
        </is>
      </c>
      <c r="E149" s="37" t="inlineStr"/>
      <c r="F149" s="37" t="inlineStr">
        <is>
          <t>30 eV</t>
        </is>
      </c>
      <c r="G149" s="5" t="inlineStr">
        <is>
          <t>energia de colisão embutida no nome; caixa alta inconsistente</t>
        </is>
      </c>
      <c r="H149" s="2">
        <f>COUNTIF($C$2:$C$149,C149)</f>
        <v/>
      </c>
      <c r="I149" s="2">
        <f>IF(COUNTIF($C$2:C149,C149)&gt;1,"Sim","Não")</f>
        <v/>
      </c>
      <c r="J149" s="2">
        <f>INDEX('3_Curadoria'!$F$2:$F$109,MATCH(C149,'3_Curadoria'!$B$2:$B$109,0))</f>
        <v/>
      </c>
      <c r="K149" s="2">
        <f>INDEX('3_Curadoria'!$H$2:$H$109,MATCH(C149,'3_Curadoria'!$B$2:$B$109,0))</f>
        <v/>
      </c>
    </row>
  </sheetData>
  <autoFilter ref="A1:K149"/>
  <conditionalFormatting sqref="J2:J149">
    <cfRule type="expression" priority="1" dxfId="0">
      <formula>$J2="A"</formula>
    </cfRule>
    <cfRule type="expression" priority="2" dxfId="1">
      <formula>$J2="B"</formula>
    </cfRule>
    <cfRule type="expression" priority="3" dxfId="2">
      <formula>$J2="C"</formula>
    </cfRule>
    <cfRule type="expression" priority="4" dxfId="3">
      <formula>$J2="D"</formula>
    </cfRule>
    <cfRule type="expression" priority="5" dxfId="4">
      <formula>$J2="E"</formula>
    </cfRule>
    <cfRule type="expression" priority="6" dxfId="5">
      <formula>$J2="F"</formula>
    </cfRule>
    <cfRule type="expression" priority="7" dxfId="6">
      <formula>$J2="P"</formula>
    </cfRule>
  </conditionalFormatting>
  <conditionalFormatting sqref="I2:I149">
    <cfRule type="expression" priority="8" dxfId="7">
      <formula>$I2="Sim"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10" customWidth="1" min="4" max="4"/>
    <col width="16" customWidth="1" min="5" max="5"/>
    <col width="10" customWidth="1" min="6" max="6"/>
    <col width="34" customWidth="1" min="7" max="7"/>
    <col width="24" customWidth="1" min="8" max="8"/>
    <col width="30" customWidth="1" min="9" max="9"/>
    <col width="9" customWidth="1" min="10" max="10"/>
    <col width="70" customWidth="1" min="11" max="11"/>
    <col width="12" customWidth="1" min="12" max="12"/>
  </cols>
  <sheetData>
    <row r="1" ht="32" customHeight="1">
      <c r="A1" s="21" t="inlineStr">
        <is>
          <t>ID</t>
        </is>
      </c>
      <c r="B1" s="21" t="inlineStr">
        <is>
          <t>Composto padronizado</t>
        </is>
      </c>
      <c r="C1" s="21" t="inlineStr">
        <is>
          <t>Classe química</t>
        </is>
      </c>
      <c r="D1" s="21" t="inlineStr">
        <is>
          <t>Nº de linhas na lista</t>
        </is>
      </c>
      <c r="E1" s="21" t="inlineStr">
        <is>
          <t>Linhas originais</t>
        </is>
      </c>
      <c r="F1" s="21" t="inlineStr">
        <is>
          <t>Categoria (A–F)</t>
        </is>
      </c>
      <c r="G1" s="21" t="inlineStr">
        <is>
          <t>Plausibilidade</t>
        </is>
      </c>
      <c r="H1" s="21" t="inlineStr">
        <is>
          <t>Ação recomendada</t>
        </is>
      </c>
      <c r="I1" s="21" t="inlineStr">
        <is>
          <t>Grupo isomérico / ressalva de anotação</t>
        </is>
      </c>
      <c r="J1" s="21" t="inlineStr">
        <is>
          <t>Nível MSI sugerido</t>
        </is>
      </c>
      <c r="K1" s="21" t="inlineStr">
        <is>
          <t>Justificativa</t>
        </is>
      </c>
      <c r="L1" s="21" t="inlineStr">
        <is>
          <t>Referências</t>
        </is>
      </c>
    </row>
    <row r="2">
      <c r="A2" s="37" t="n">
        <v>1</v>
      </c>
      <c r="B2" s="5" t="inlineStr">
        <is>
          <t>Choline</t>
        </is>
      </c>
      <c r="C2" s="5" t="inlineStr">
        <is>
          <t>Amina quaternária</t>
        </is>
      </c>
      <c r="D2" s="5">
        <f>COUNTIF('2_Limpo'!$C$2:$C$149,B2)</f>
        <v/>
      </c>
      <c r="E2" s="5" t="inlineStr">
        <is>
          <t>34, 123</t>
        </is>
      </c>
      <c r="F2" s="37" t="inlineStr">
        <is>
          <t>A</t>
        </is>
      </c>
      <c r="G2" s="5">
        <f>INDEX('4_Resumo'!$C$5:$C$11,MATCH(F2,'4_Resumo'!$B$5:$B$11,0))</f>
        <v/>
      </c>
      <c r="H2" s="5">
        <f>INDEX('4_Resumo'!$D$5:$D$11,MATCH(F2,'4_Resumo'!$B$5:$B$11,0))</f>
        <v/>
      </c>
      <c r="I2" s="5" t="inlineStr">
        <is>
          <t>—</t>
        </is>
      </c>
      <c r="J2" s="37" t="inlineStr">
        <is>
          <t>2</t>
        </is>
      </c>
      <c r="K2" s="5" t="inlineStr">
        <is>
          <t>Relatada em V. planifolia.</t>
        </is>
      </c>
      <c r="L2" s="37" t="inlineStr">
        <is>
          <t>R1</t>
        </is>
      </c>
    </row>
    <row r="3">
      <c r="A3" s="37" t="n">
        <v>2</v>
      </c>
      <c r="B3" s="5" t="inlineStr">
        <is>
          <t>Asparagine</t>
        </is>
      </c>
      <c r="C3" s="5" t="inlineStr">
        <is>
          <t>Aminoácido</t>
        </is>
      </c>
      <c r="D3" s="5">
        <f>COUNTIF('2_Limpo'!$C$2:$C$149,B3)</f>
        <v/>
      </c>
      <c r="E3" s="5" t="inlineStr">
        <is>
          <t>30, 84</t>
        </is>
      </c>
      <c r="F3" s="37" t="inlineStr">
        <is>
          <t>A</t>
        </is>
      </c>
      <c r="G3" s="5">
        <f>INDEX('4_Resumo'!$C$5:$C$11,MATCH(F3,'4_Resumo'!$B$5:$B$11,0))</f>
        <v/>
      </c>
      <c r="H3" s="5">
        <f>INDEX('4_Resumo'!$D$5:$D$11,MATCH(F3,'4_Resumo'!$B$5:$B$11,0))</f>
        <v/>
      </c>
      <c r="I3" s="5" t="inlineStr">
        <is>
          <t>—</t>
        </is>
      </c>
      <c r="J3" s="37" t="inlineStr">
        <is>
          <t>2</t>
        </is>
      </c>
      <c r="K3" s="5" t="inlineStr">
        <is>
          <t>Relatada em V. planifolia.</t>
        </is>
      </c>
      <c r="L3" s="37" t="inlineStr">
        <is>
          <t>R1</t>
        </is>
      </c>
    </row>
    <row r="4">
      <c r="A4" s="37" t="n">
        <v>3</v>
      </c>
      <c r="B4" s="5" t="inlineStr">
        <is>
          <t>Isoleucine</t>
        </is>
      </c>
      <c r="C4" s="5" t="inlineStr">
        <is>
          <t>Aminoácido</t>
        </is>
      </c>
      <c r="D4" s="5">
        <f>COUNTIF('2_Limpo'!$C$2:$C$149,B4)</f>
        <v/>
      </c>
      <c r="E4" s="5" t="inlineStr">
        <is>
          <t>57, 58, 59, 70, 82</t>
        </is>
      </c>
      <c r="F4" s="37" t="inlineStr">
        <is>
          <t>A</t>
        </is>
      </c>
      <c r="G4" s="5">
        <f>INDEX('4_Resumo'!$C$5:$C$11,MATCH(F4,'4_Resumo'!$B$5:$B$11,0))</f>
        <v/>
      </c>
      <c r="H4" s="5">
        <f>INDEX('4_Resumo'!$D$5:$D$11,MATCH(F4,'4_Resumo'!$B$5:$B$11,0))</f>
        <v/>
      </c>
      <c r="I4" s="5" t="inlineStr">
        <is>
          <t>C6H13NO2 (Leu/Ile/allo-Ile/Nle) — indistinguíveis por MS/MS</t>
        </is>
      </c>
      <c r="J4" s="37" t="inlineStr">
        <is>
          <t>3</t>
        </is>
      </c>
      <c r="K4" s="5" t="inlineStr">
        <is>
          <t>Isoleucina relatada em V. planifolia. Isômero de Leu — consolidar como 'Leu/Ile'.</t>
        </is>
      </c>
      <c r="L4" s="37" t="inlineStr">
        <is>
          <t>R1</t>
        </is>
      </c>
    </row>
    <row r="5">
      <c r="A5" s="37" t="n">
        <v>4</v>
      </c>
      <c r="B5" s="5" t="inlineStr">
        <is>
          <t>Leucine</t>
        </is>
      </c>
      <c r="C5" s="5" t="inlineStr">
        <is>
          <t>Aminoácido</t>
        </is>
      </c>
      <c r="D5" s="5">
        <f>COUNTIF('2_Limpo'!$C$2:$C$149,B5)</f>
        <v/>
      </c>
      <c r="E5" s="5" t="inlineStr">
        <is>
          <t>63, 64, 65, 66, 67, 68, 71, 81</t>
        </is>
      </c>
      <c r="F5" s="37" t="inlineStr">
        <is>
          <t>A</t>
        </is>
      </c>
      <c r="G5" s="5">
        <f>INDEX('4_Resumo'!$C$5:$C$11,MATCH(F5,'4_Resumo'!$B$5:$B$11,0))</f>
        <v/>
      </c>
      <c r="H5" s="5">
        <f>INDEX('4_Resumo'!$D$5:$D$11,MATCH(F5,'4_Resumo'!$B$5:$B$11,0))</f>
        <v/>
      </c>
      <c r="I5" s="5" t="inlineStr">
        <is>
          <t>C6H13NO2 (Leu/Ile/allo-Ile/Nle) — indistinguíveis por MS/MS</t>
        </is>
      </c>
      <c r="J5" s="37" t="inlineStr">
        <is>
          <t>3</t>
        </is>
      </c>
      <c r="K5" s="5" t="inlineStr">
        <is>
          <t>Leucina relatada em folhas/caules/raízes de V. planifolia. Reportar a feature como 'Leu/Ile'.</t>
        </is>
      </c>
      <c r="L5" s="37" t="inlineStr">
        <is>
          <t>R1</t>
        </is>
      </c>
    </row>
    <row r="6">
      <c r="A6" s="37" t="n">
        <v>5</v>
      </c>
      <c r="B6" s="5" t="inlineStr">
        <is>
          <t>Phenylalanine</t>
        </is>
      </c>
      <c r="C6" s="5" t="inlineStr">
        <is>
          <t>Aminoácido</t>
        </is>
      </c>
      <c r="D6" s="5">
        <f>COUNTIF('2_Limpo'!$C$2:$C$149,B6)</f>
        <v/>
      </c>
      <c r="E6" s="5" t="inlineStr">
        <is>
          <t>83, 88</t>
        </is>
      </c>
      <c r="F6" s="37" t="inlineStr">
        <is>
          <t>A</t>
        </is>
      </c>
      <c r="G6" s="5">
        <f>INDEX('4_Resumo'!$C$5:$C$11,MATCH(F6,'4_Resumo'!$B$5:$B$11,0))</f>
        <v/>
      </c>
      <c r="H6" s="5">
        <f>INDEX('4_Resumo'!$D$5:$D$11,MATCH(F6,'4_Resumo'!$B$5:$B$11,0))</f>
        <v/>
      </c>
      <c r="I6" s="5" t="inlineStr">
        <is>
          <t>—</t>
        </is>
      </c>
      <c r="J6" s="37" t="inlineStr">
        <is>
          <t>2</t>
        </is>
      </c>
      <c r="K6" s="5" t="inlineStr">
        <is>
          <t>Relatada em V. planifolia; precursora da rota fenilpropanoide/vanilina.</t>
        </is>
      </c>
      <c r="L6" s="37" t="inlineStr">
        <is>
          <t>R1; R7</t>
        </is>
      </c>
    </row>
    <row r="7">
      <c r="A7" s="37" t="n">
        <v>6</v>
      </c>
      <c r="B7" s="5" t="inlineStr">
        <is>
          <t>Tyrosine</t>
        </is>
      </c>
      <c r="C7" s="5" t="inlineStr">
        <is>
          <t>Aminoácido</t>
        </is>
      </c>
      <c r="D7" s="5">
        <f>COUNTIF('2_Limpo'!$C$2:$C$149,B7)</f>
        <v/>
      </c>
      <c r="E7" s="5" t="inlineStr">
        <is>
          <t>89</t>
        </is>
      </c>
      <c r="F7" s="37" t="inlineStr">
        <is>
          <t>A</t>
        </is>
      </c>
      <c r="G7" s="5">
        <f>INDEX('4_Resumo'!$C$5:$C$11,MATCH(F7,'4_Resumo'!$B$5:$B$11,0))</f>
        <v/>
      </c>
      <c r="H7" s="5">
        <f>INDEX('4_Resumo'!$D$5:$D$11,MATCH(F7,'4_Resumo'!$B$5:$B$11,0))</f>
        <v/>
      </c>
      <c r="I7" s="5" t="inlineStr">
        <is>
          <t>—</t>
        </is>
      </c>
      <c r="J7" s="37" t="inlineStr">
        <is>
          <t>2</t>
        </is>
      </c>
      <c r="K7" s="5" t="inlineStr">
        <is>
          <t>Relatada em V. planifolia.</t>
        </is>
      </c>
      <c r="L7" s="37" t="inlineStr">
        <is>
          <t>R1</t>
        </is>
      </c>
    </row>
    <row r="8">
      <c r="A8" s="37" t="n">
        <v>7</v>
      </c>
      <c r="B8" s="5" t="inlineStr">
        <is>
          <t>Arabinose</t>
        </is>
      </c>
      <c r="C8" s="5" t="inlineStr">
        <is>
          <t>Açúcar (pentose)</t>
        </is>
      </c>
      <c r="D8" s="5">
        <f>COUNTIF('2_Limpo'!$C$2:$C$149,B8)</f>
        <v/>
      </c>
      <c r="E8" s="5" t="inlineStr">
        <is>
          <t>28</t>
        </is>
      </c>
      <c r="F8" s="37" t="inlineStr">
        <is>
          <t>A</t>
        </is>
      </c>
      <c r="G8" s="5">
        <f>INDEX('4_Resumo'!$C$5:$C$11,MATCH(F8,'4_Resumo'!$B$5:$B$11,0))</f>
        <v/>
      </c>
      <c r="H8" s="5">
        <f>INDEX('4_Resumo'!$D$5:$D$11,MATCH(F8,'4_Resumo'!$B$5:$B$11,0))</f>
        <v/>
      </c>
      <c r="I8" s="5" t="inlineStr">
        <is>
          <t>—</t>
        </is>
      </c>
      <c r="J8" s="37" t="inlineStr">
        <is>
          <t>2</t>
        </is>
      </c>
      <c r="K8" s="5" t="inlineStr">
        <is>
          <t>Relatada em V. planifolia.</t>
        </is>
      </c>
      <c r="L8" s="37" t="inlineStr">
        <is>
          <t>R1</t>
        </is>
      </c>
    </row>
    <row r="9">
      <c r="A9" s="37" t="n">
        <v>8</v>
      </c>
      <c r="B9" s="5" t="inlineStr">
        <is>
          <t>Guaiacol</t>
        </is>
      </c>
      <c r="C9" s="5" t="inlineStr">
        <is>
          <t>Fenol volátil</t>
        </is>
      </c>
      <c r="D9" s="5">
        <f>COUNTIF('2_Limpo'!$C$2:$C$149,B9)</f>
        <v/>
      </c>
      <c r="E9" s="5" t="inlineStr">
        <is>
          <t>48, 49</t>
        </is>
      </c>
      <c r="F9" s="37" t="inlineStr">
        <is>
          <t>A</t>
        </is>
      </c>
      <c r="G9" s="5">
        <f>INDEX('4_Resumo'!$C$5:$C$11,MATCH(F9,'4_Resumo'!$B$5:$B$11,0))</f>
        <v/>
      </c>
      <c r="H9" s="5">
        <f>INDEX('4_Resumo'!$D$5:$D$11,MATCH(F9,'4_Resumo'!$B$5:$B$11,0))</f>
        <v/>
      </c>
      <c r="I9" s="5" t="inlineStr">
        <is>
          <t>—</t>
        </is>
      </c>
      <c r="J9" s="37" t="inlineStr">
        <is>
          <t>2</t>
        </is>
      </c>
      <c r="K9" s="5" t="inlineStr">
        <is>
          <t>Composto de aroma da baunilha curada. Por ser volátil, é atípico em LC-MS; confirmar.</t>
        </is>
      </c>
      <c r="L9" s="37" t="inlineStr">
        <is>
          <t>R5</t>
        </is>
      </c>
    </row>
    <row r="10">
      <c r="A10" s="37" t="n">
        <v>9</v>
      </c>
      <c r="B10" s="5" t="inlineStr">
        <is>
          <t>Diosmin</t>
        </is>
      </c>
      <c r="C10" s="5" t="inlineStr">
        <is>
          <t>Flavonoide (flavona glicosilada)</t>
        </is>
      </c>
      <c r="D10" s="5">
        <f>COUNTIF('2_Limpo'!$C$2:$C$149,B10)</f>
        <v/>
      </c>
      <c r="E10" s="5" t="inlineStr">
        <is>
          <t>40</t>
        </is>
      </c>
      <c r="F10" s="37" t="inlineStr">
        <is>
          <t>A</t>
        </is>
      </c>
      <c r="G10" s="5">
        <f>INDEX('4_Resumo'!$C$5:$C$11,MATCH(F10,'4_Resumo'!$B$5:$B$11,0))</f>
        <v/>
      </c>
      <c r="H10" s="5">
        <f>INDEX('4_Resumo'!$D$5:$D$11,MATCH(F10,'4_Resumo'!$B$5:$B$11,0))</f>
        <v/>
      </c>
      <c r="I10" s="5" t="inlineStr">
        <is>
          <t>—</t>
        </is>
      </c>
      <c r="J10" s="37" t="inlineStr">
        <is>
          <t>2</t>
        </is>
      </c>
      <c r="K10" s="5" t="inlineStr">
        <is>
          <t>Diosmetina e 'diosmetina desoxi-hexose-hexose' (= composição da diosmina) foram relatadas em V. planifolia.</t>
        </is>
      </c>
      <c r="L10" s="37" t="inlineStr">
        <is>
          <t>R1</t>
        </is>
      </c>
    </row>
    <row r="11">
      <c r="A11" s="37" t="n">
        <v>10</v>
      </c>
      <c r="B11" s="5" t="inlineStr">
        <is>
          <t>D-Mannitol</t>
        </is>
      </c>
      <c r="C11" s="5" t="inlineStr">
        <is>
          <t>Poliol</t>
        </is>
      </c>
      <c r="D11" s="5">
        <f>COUNTIF('2_Limpo'!$C$2:$C$149,B11)</f>
        <v/>
      </c>
      <c r="E11" s="5" t="inlineStr">
        <is>
          <t>41</t>
        </is>
      </c>
      <c r="F11" s="37" t="inlineStr">
        <is>
          <t>A</t>
        </is>
      </c>
      <c r="G11" s="5">
        <f>INDEX('4_Resumo'!$C$5:$C$11,MATCH(F11,'4_Resumo'!$B$5:$B$11,0))</f>
        <v/>
      </c>
      <c r="H11" s="5">
        <f>INDEX('4_Resumo'!$D$5:$D$11,MATCH(F11,'4_Resumo'!$B$5:$B$11,0))</f>
        <v/>
      </c>
      <c r="I11" s="5" t="inlineStr">
        <is>
          <t>—</t>
        </is>
      </c>
      <c r="J11" s="37" t="inlineStr">
        <is>
          <t>2</t>
        </is>
      </c>
      <c r="K11" s="5" t="inlineStr">
        <is>
          <t>Relatado em V. planifolia.</t>
        </is>
      </c>
      <c r="L11" s="37" t="inlineStr">
        <is>
          <t>R1</t>
        </is>
      </c>
    </row>
    <row r="12">
      <c r="A12" s="37" t="n">
        <v>11</v>
      </c>
      <c r="B12" s="5" t="inlineStr">
        <is>
          <t>alpha-Linolenic acid</t>
        </is>
      </c>
      <c r="C12" s="5" t="inlineStr">
        <is>
          <t>Ácido graxo (18:3)</t>
        </is>
      </c>
      <c r="D12" s="5">
        <f>COUNTIF('2_Limpo'!$C$2:$C$149,B12)</f>
        <v/>
      </c>
      <c r="E12" s="5" t="inlineStr">
        <is>
          <t>86, 87</t>
        </is>
      </c>
      <c r="F12" s="37" t="inlineStr">
        <is>
          <t>A</t>
        </is>
      </c>
      <c r="G12" s="5">
        <f>INDEX('4_Resumo'!$C$5:$C$11,MATCH(F12,'4_Resumo'!$B$5:$B$11,0))</f>
        <v/>
      </c>
      <c r="H12" s="5">
        <f>INDEX('4_Resumo'!$D$5:$D$11,MATCH(F12,'4_Resumo'!$B$5:$B$11,0))</f>
        <v/>
      </c>
      <c r="I12" s="5" t="inlineStr">
        <is>
          <t>—</t>
        </is>
      </c>
      <c r="J12" s="37" t="inlineStr">
        <is>
          <t>2</t>
        </is>
      </c>
      <c r="K12" s="5" t="inlineStr">
        <is>
          <t>Relatado em V. planifolia. O nome original estava com encoding quebrado ('?-linolenic').</t>
        </is>
      </c>
      <c r="L12" s="37" t="inlineStr">
        <is>
          <t>R1</t>
        </is>
      </c>
    </row>
    <row r="13">
      <c r="A13" s="37" t="n">
        <v>12</v>
      </c>
      <c r="B13" s="5" t="inlineStr">
        <is>
          <t>Ferulic acid</t>
        </is>
      </c>
      <c r="C13" s="5" t="inlineStr">
        <is>
          <t>Ácido hidroxicinâmico</t>
        </is>
      </c>
      <c r="D13" s="5">
        <f>COUNTIF('2_Limpo'!$C$2:$C$149,B13)</f>
        <v/>
      </c>
      <c r="E13" s="5" t="inlineStr">
        <is>
          <t>42, 141</t>
        </is>
      </c>
      <c r="F13" s="37" t="inlineStr">
        <is>
          <t>A</t>
        </is>
      </c>
      <c r="G13" s="5">
        <f>INDEX('4_Resumo'!$C$5:$C$11,MATCH(F13,'4_Resumo'!$B$5:$B$11,0))</f>
        <v/>
      </c>
      <c r="H13" s="5">
        <f>INDEX('4_Resumo'!$D$5:$D$11,MATCH(F13,'4_Resumo'!$B$5:$B$11,0))</f>
        <v/>
      </c>
      <c r="I13" s="5" t="inlineStr">
        <is>
          <t>—</t>
        </is>
      </c>
      <c r="J13" s="37" t="inlineStr">
        <is>
          <t>2</t>
        </is>
      </c>
      <c r="K13" s="5" t="inlineStr">
        <is>
          <t>Relatado em V. planifolia; precursor direto da vanilina (VpVAN).</t>
        </is>
      </c>
      <c r="L13" s="37" t="inlineStr">
        <is>
          <t>R1; R4; R7</t>
        </is>
      </c>
    </row>
    <row r="14">
      <c r="A14" s="37" t="n">
        <v>13</v>
      </c>
      <c r="B14" s="5" t="inlineStr">
        <is>
          <t>Sinapic acid</t>
        </is>
      </c>
      <c r="C14" s="5" t="inlineStr">
        <is>
          <t>Ácido hidroxicinâmico</t>
        </is>
      </c>
      <c r="D14" s="5">
        <f>COUNTIF('2_Limpo'!$C$2:$C$149,B14)</f>
        <v/>
      </c>
      <c r="E14" s="5" t="inlineStr">
        <is>
          <t>109</t>
        </is>
      </c>
      <c r="F14" s="37" t="inlineStr">
        <is>
          <t>A</t>
        </is>
      </c>
      <c r="G14" s="5">
        <f>INDEX('4_Resumo'!$C$5:$C$11,MATCH(F14,'4_Resumo'!$B$5:$B$11,0))</f>
        <v/>
      </c>
      <c r="H14" s="5">
        <f>INDEX('4_Resumo'!$D$5:$D$11,MATCH(F14,'4_Resumo'!$B$5:$B$11,0))</f>
        <v/>
      </c>
      <c r="I14" s="5" t="inlineStr">
        <is>
          <t>—</t>
        </is>
      </c>
      <c r="J14" s="37" t="inlineStr">
        <is>
          <t>2</t>
        </is>
      </c>
      <c r="K14" s="5" t="inlineStr">
        <is>
          <t>Relatado em V. planifolia (ácido 3,5-dimetoxi-4-hidroxicinâmico).</t>
        </is>
      </c>
      <c r="L14" s="37" t="inlineStr">
        <is>
          <t>R1</t>
        </is>
      </c>
    </row>
    <row r="15">
      <c r="A15" s="37" t="n">
        <v>14</v>
      </c>
      <c r="B15" s="5" t="inlineStr">
        <is>
          <t>3-Hydroxybenzyl alcohol</t>
        </is>
      </c>
      <c r="C15" s="5" t="inlineStr">
        <is>
          <t>Álcool benzílico</t>
        </is>
      </c>
      <c r="D15" s="5">
        <f>COUNTIF('2_Limpo'!$C$2:$C$149,B15)</f>
        <v/>
      </c>
      <c r="E15" s="5" t="inlineStr">
        <is>
          <t>14, 15</t>
        </is>
      </c>
      <c r="F15" s="37" t="inlineStr">
        <is>
          <t>A</t>
        </is>
      </c>
      <c r="G15" s="5">
        <f>INDEX('4_Resumo'!$C$5:$C$11,MATCH(F15,'4_Resumo'!$B$5:$B$11,0))</f>
        <v/>
      </c>
      <c r="H15" s="5">
        <f>INDEX('4_Resumo'!$D$5:$D$11,MATCH(F15,'4_Resumo'!$B$5:$B$11,0))</f>
        <v/>
      </c>
      <c r="I15" s="5" t="inlineStr">
        <is>
          <t>C7H8O2 (3-/4-hidroxibenzil álcool)</t>
        </is>
      </c>
      <c r="J15" s="37" t="inlineStr">
        <is>
          <t>3</t>
        </is>
      </c>
      <c r="K15" s="5" t="inlineStr">
        <is>
          <t>Provável erro de isômero posicional: o álcool 4-hidroxibenzílico é relatado em V. planifolia. Reanotar como 'hidroxibenzil álcool (provável 4-OH)'.</t>
        </is>
      </c>
      <c r="L15" s="37" t="inlineStr">
        <is>
          <t>R1</t>
        </is>
      </c>
    </row>
    <row r="16">
      <c r="A16" s="37" t="n">
        <v>15</v>
      </c>
      <c r="B16" s="5" t="inlineStr">
        <is>
          <t>Kaurane-type diterpenoid caffeate ester</t>
        </is>
      </c>
      <c r="C16" s="5" t="inlineStr">
        <is>
          <t>Diterpenoide (ent-caurano) esterificado</t>
        </is>
      </c>
      <c r="D16" s="5">
        <f>COUNTIF('2_Limpo'!$C$2:$C$149,B16)</f>
        <v/>
      </c>
      <c r="E16" s="5" t="inlineStr">
        <is>
          <t>6</t>
        </is>
      </c>
      <c r="F16" s="37" t="inlineStr">
        <is>
          <t>B</t>
        </is>
      </c>
      <c r="G16" s="5">
        <f>INDEX('4_Resumo'!$C$5:$C$11,MATCH(F16,'4_Resumo'!$B$5:$B$11,0))</f>
        <v/>
      </c>
      <c r="H16" s="5">
        <f>INDEX('4_Resumo'!$D$5:$D$11,MATCH(F16,'4_Resumo'!$B$5:$B$11,0))</f>
        <v/>
      </c>
      <c r="I16" s="5" t="inlineStr">
        <is>
          <t>—</t>
        </is>
      </c>
      <c r="J16" s="37" t="inlineStr">
        <is>
          <t>2</t>
        </is>
      </c>
      <c r="K16" s="5" t="inlineStr">
        <is>
          <t>Diterpenoides do tipo caurano e ésteres de ácidos cinâmicos com terpenoides foram anotados em folhas de Vanilla spp. brasileiras.</t>
        </is>
      </c>
      <c r="L16" s="37" t="inlineStr">
        <is>
          <t>R2</t>
        </is>
      </c>
    </row>
    <row r="17">
      <c r="A17" s="37" t="n">
        <v>16</v>
      </c>
      <c r="B17" s="5" t="inlineStr">
        <is>
          <t>2,2'-Dihydroxychalcone</t>
        </is>
      </c>
      <c r="C17" s="5" t="inlineStr">
        <is>
          <t>Flavonoide (chalcona)</t>
        </is>
      </c>
      <c r="D17" s="5">
        <f>COUNTIF('2_Limpo'!$C$2:$C$149,B17)</f>
        <v/>
      </c>
      <c r="E17" s="5" t="inlineStr">
        <is>
          <t>7</t>
        </is>
      </c>
      <c r="F17" s="37" t="inlineStr">
        <is>
          <t>B</t>
        </is>
      </c>
      <c r="G17" s="5">
        <f>INDEX('4_Resumo'!$C$5:$C$11,MATCH(F17,'4_Resumo'!$B$5:$B$11,0))</f>
        <v/>
      </c>
      <c r="H17" s="5">
        <f>INDEX('4_Resumo'!$D$5:$D$11,MATCH(F17,'4_Resumo'!$B$5:$B$11,0))</f>
        <v/>
      </c>
      <c r="I17" s="5" t="inlineStr">
        <is>
          <t>—</t>
        </is>
      </c>
      <c r="J17" s="37" t="inlineStr">
        <is>
          <t>3</t>
        </is>
      </c>
      <c r="K17" s="5" t="inlineStr">
        <is>
          <t>Chalconas foram anotadas em folhas de Vanilla spp. O composto específico não foi confirmado: tratar como nível de classe.</t>
        </is>
      </c>
      <c r="L17" s="37" t="inlineStr">
        <is>
          <t>R2</t>
        </is>
      </c>
    </row>
    <row r="18">
      <c r="A18" s="37" t="n">
        <v>17</v>
      </c>
      <c r="B18" s="5" t="inlineStr">
        <is>
          <t>4'-Hydroxychalcone</t>
        </is>
      </c>
      <c r="C18" s="5" t="inlineStr">
        <is>
          <t>Flavonoide (chalcona)</t>
        </is>
      </c>
      <c r="D18" s="5">
        <f>COUNTIF('2_Limpo'!$C$2:$C$149,B18)</f>
        <v/>
      </c>
      <c r="E18" s="5" t="inlineStr">
        <is>
          <t>18</t>
        </is>
      </c>
      <c r="F18" s="37" t="inlineStr">
        <is>
          <t>B</t>
        </is>
      </c>
      <c r="G18" s="5">
        <f>INDEX('4_Resumo'!$C$5:$C$11,MATCH(F18,'4_Resumo'!$B$5:$B$11,0))</f>
        <v/>
      </c>
      <c r="H18" s="5">
        <f>INDEX('4_Resumo'!$D$5:$D$11,MATCH(F18,'4_Resumo'!$B$5:$B$11,0))</f>
        <v/>
      </c>
      <c r="I18" s="5" t="inlineStr">
        <is>
          <t>—</t>
        </is>
      </c>
      <c r="J18" s="37" t="inlineStr">
        <is>
          <t>3</t>
        </is>
      </c>
      <c r="K18" s="5" t="inlineStr">
        <is>
          <t>Idem: classe presente em Vanilla spp.; composto específico não confirmado.</t>
        </is>
      </c>
      <c r="L18" s="37" t="inlineStr">
        <is>
          <t>R2</t>
        </is>
      </c>
    </row>
    <row r="19">
      <c r="A19" s="37" t="n">
        <v>18</v>
      </c>
      <c r="B19" s="5" t="inlineStr">
        <is>
          <t>Tricin 5-O-glucoside</t>
        </is>
      </c>
      <c r="C19" s="5" t="inlineStr">
        <is>
          <t>Flavonoide (flavona glicosilada)</t>
        </is>
      </c>
      <c r="D19" s="5">
        <f>COUNTIF('2_Limpo'!$C$2:$C$149,B19)</f>
        <v/>
      </c>
      <c r="E19" s="5" t="inlineStr">
        <is>
          <t>24</t>
        </is>
      </c>
      <c r="F19" s="37" t="inlineStr">
        <is>
          <t>B</t>
        </is>
      </c>
      <c r="G19" s="5">
        <f>INDEX('4_Resumo'!$C$5:$C$11,MATCH(F19,'4_Resumo'!$B$5:$B$11,0))</f>
        <v/>
      </c>
      <c r="H19" s="5">
        <f>INDEX('4_Resumo'!$D$5:$D$11,MATCH(F19,'4_Resumo'!$B$5:$B$11,0))</f>
        <v/>
      </c>
      <c r="I19" s="5" t="inlineStr">
        <is>
          <t>—</t>
        </is>
      </c>
      <c r="J19" s="37" t="inlineStr">
        <is>
          <t>2</t>
        </is>
      </c>
      <c r="K19" s="5" t="inlineStr">
        <is>
          <t>Tricina 5-glucosídeo foi anotada em orquídeas (Vanda/Cattleya).</t>
        </is>
      </c>
      <c r="L19" s="37" t="inlineStr">
        <is>
          <t>R3</t>
        </is>
      </c>
    </row>
    <row r="20">
      <c r="A20" s="37" t="n">
        <v>19</v>
      </c>
      <c r="B20" s="5" t="inlineStr">
        <is>
          <t>Loliolide</t>
        </is>
      </c>
      <c r="C20" s="5" t="inlineStr">
        <is>
          <t>Norisoprenoide (monoterpenoide lactona)</t>
        </is>
      </c>
      <c r="D20" s="5">
        <f>COUNTIF('2_Limpo'!$C$2:$C$149,B20)</f>
        <v/>
      </c>
      <c r="E20" s="5" t="inlineStr">
        <is>
          <t>73</t>
        </is>
      </c>
      <c r="F20" s="37" t="inlineStr">
        <is>
          <t>B</t>
        </is>
      </c>
      <c r="G20" s="5">
        <f>INDEX('4_Resumo'!$C$5:$C$11,MATCH(F20,'4_Resumo'!$B$5:$B$11,0))</f>
        <v/>
      </c>
      <c r="H20" s="5">
        <f>INDEX('4_Resumo'!$D$5:$D$11,MATCH(F20,'4_Resumo'!$B$5:$B$11,0))</f>
        <v/>
      </c>
      <c r="I20" s="5" t="inlineStr">
        <is>
          <t>—</t>
        </is>
      </c>
      <c r="J20" s="37" t="inlineStr">
        <is>
          <t>2</t>
        </is>
      </c>
      <c r="K20" s="5" t="inlineStr">
        <is>
          <t>Anotado em orquídeas (Vanda/Cattleya), associado a atividade antifúngica.</t>
        </is>
      </c>
      <c r="L20" s="37" t="inlineStr">
        <is>
          <t>R3</t>
        </is>
      </c>
    </row>
    <row r="21">
      <c r="A21" s="37" t="n">
        <v>20</v>
      </c>
      <c r="B21" s="5" t="inlineStr">
        <is>
          <t>Glucosamine</t>
        </is>
      </c>
      <c r="C21" s="5" t="inlineStr">
        <is>
          <t>Aminoaçúcar</t>
        </is>
      </c>
      <c r="D21" s="5">
        <f>COUNTIF('2_Limpo'!$C$2:$C$149,B21)</f>
        <v/>
      </c>
      <c r="E21" s="5" t="inlineStr">
        <is>
          <t>45</t>
        </is>
      </c>
      <c r="F21" s="37" t="inlineStr">
        <is>
          <t>C</t>
        </is>
      </c>
      <c r="G21" s="5">
        <f>INDEX('4_Resumo'!$C$5:$C$11,MATCH(F21,'4_Resumo'!$B$5:$B$11,0))</f>
        <v/>
      </c>
      <c r="H21" s="5">
        <f>INDEX('4_Resumo'!$D$5:$D$11,MATCH(F21,'4_Resumo'!$B$5:$B$11,0))</f>
        <v/>
      </c>
      <c r="I21" s="5" t="inlineStr">
        <is>
          <t>—</t>
        </is>
      </c>
      <c r="J21" s="37" t="inlineStr">
        <is>
          <t>2</t>
        </is>
      </c>
      <c r="K21" s="5" t="inlineStr">
        <is>
          <t>N-acetilglucosamina relatada em V. planifolia; a glucosamina é plausível (ou fragmento/desacetilação).</t>
        </is>
      </c>
      <c r="L21" s="37" t="inlineStr">
        <is>
          <t>R1</t>
        </is>
      </c>
    </row>
    <row r="22">
      <c r="A22" s="37" t="n">
        <v>21</v>
      </c>
      <c r="B22" s="5" t="inlineStr">
        <is>
          <t>Arginine</t>
        </is>
      </c>
      <c r="C22" s="5" t="inlineStr">
        <is>
          <t>Aminoácido</t>
        </is>
      </c>
      <c r="D22" s="5">
        <f>COUNTIF('2_Limpo'!$C$2:$C$149,B22)</f>
        <v/>
      </c>
      <c r="E22" s="5" t="inlineStr">
        <is>
          <t>29</t>
        </is>
      </c>
      <c r="F22" s="37" t="inlineStr">
        <is>
          <t>C</t>
        </is>
      </c>
      <c r="G22" s="5">
        <f>INDEX('4_Resumo'!$C$5:$C$11,MATCH(F22,'4_Resumo'!$B$5:$B$11,0))</f>
        <v/>
      </c>
      <c r="H22" s="5">
        <f>INDEX('4_Resumo'!$D$5:$D$11,MATCH(F22,'4_Resumo'!$B$5:$B$11,0))</f>
        <v/>
      </c>
      <c r="I22" s="5" t="inlineStr">
        <is>
          <t>—</t>
        </is>
      </c>
      <c r="J22" s="37" t="inlineStr">
        <is>
          <t>2</t>
        </is>
      </c>
      <c r="K22" s="5" t="inlineStr">
        <is>
          <t>Aminoácido proteinogênico universal (não listado em R1, mas esperado).</t>
        </is>
      </c>
      <c r="L22" s="37" t="inlineStr">
        <is>
          <t>—</t>
        </is>
      </c>
    </row>
    <row r="23">
      <c r="A23" s="37" t="n">
        <v>22</v>
      </c>
      <c r="B23" s="5" t="inlineStr">
        <is>
          <t>N-Acetyl-L-leucine</t>
        </is>
      </c>
      <c r="C23" s="5" t="inlineStr">
        <is>
          <t>Aminoácido modificado</t>
        </is>
      </c>
      <c r="D23" s="5">
        <f>COUNTIF('2_Limpo'!$C$2:$C$149,B23)</f>
        <v/>
      </c>
      <c r="E23" s="5" t="inlineStr">
        <is>
          <t>92</t>
        </is>
      </c>
      <c r="F23" s="37" t="inlineStr">
        <is>
          <t>C</t>
        </is>
      </c>
      <c r="G23" s="5">
        <f>INDEX('4_Resumo'!$C$5:$C$11,MATCH(F23,'4_Resumo'!$B$5:$B$11,0))</f>
        <v/>
      </c>
      <c r="H23" s="5">
        <f>INDEX('4_Resumo'!$D$5:$D$11,MATCH(F23,'4_Resumo'!$B$5:$B$11,0))</f>
        <v/>
      </c>
      <c r="I23" s="5" t="inlineStr">
        <is>
          <t>—</t>
        </is>
      </c>
      <c r="J23" s="37" t="inlineStr">
        <is>
          <t>2</t>
        </is>
      </c>
      <c r="K23" s="5" t="inlineStr">
        <is>
          <t>Derivado N-acetilado de aminoácido; ocorre em plantas, baixa especificidade.</t>
        </is>
      </c>
      <c r="L23" s="37" t="inlineStr">
        <is>
          <t>—</t>
        </is>
      </c>
    </row>
    <row r="24">
      <c r="A24" s="37" t="n">
        <v>23</v>
      </c>
      <c r="B24" s="5" t="inlineStr">
        <is>
          <t>N-Acetyl-L-lysine</t>
        </is>
      </c>
      <c r="C24" s="5" t="inlineStr">
        <is>
          <t>Aminoácido modificado</t>
        </is>
      </c>
      <c r="D24" s="5">
        <f>COUNTIF('2_Limpo'!$C$2:$C$149,B24)</f>
        <v/>
      </c>
      <c r="E24" s="5" t="inlineStr">
        <is>
          <t>26</t>
        </is>
      </c>
      <c r="F24" s="37" t="inlineStr">
        <is>
          <t>C</t>
        </is>
      </c>
      <c r="G24" s="5">
        <f>INDEX('4_Resumo'!$C$5:$C$11,MATCH(F24,'4_Resumo'!$B$5:$B$11,0))</f>
        <v/>
      </c>
      <c r="H24" s="5">
        <f>INDEX('4_Resumo'!$D$5:$D$11,MATCH(F24,'4_Resumo'!$B$5:$B$11,0))</f>
        <v/>
      </c>
      <c r="I24" s="5" t="inlineStr">
        <is>
          <t>—</t>
        </is>
      </c>
      <c r="J24" s="37" t="inlineStr">
        <is>
          <t>2</t>
        </is>
      </c>
      <c r="K24" s="5" t="inlineStr">
        <is>
          <t>Derivado N-acetilado de aminoácido; baixa especificidade.</t>
        </is>
      </c>
      <c r="L24" s="37" t="inlineStr">
        <is>
          <t>—</t>
        </is>
      </c>
    </row>
    <row r="25">
      <c r="A25" s="37" t="n">
        <v>24</v>
      </c>
      <c r="B25" s="5" t="inlineStr">
        <is>
          <t>Mannose</t>
        </is>
      </c>
      <c r="C25" s="5" t="inlineStr">
        <is>
          <t>Açúcar (hexose)</t>
        </is>
      </c>
      <c r="D25" s="5">
        <f>COUNTIF('2_Limpo'!$C$2:$C$149,B25)</f>
        <v/>
      </c>
      <c r="E25" s="5" t="inlineStr">
        <is>
          <t>75</t>
        </is>
      </c>
      <c r="F25" s="37" t="inlineStr">
        <is>
          <t>C</t>
        </is>
      </c>
      <c r="G25" s="5">
        <f>INDEX('4_Resumo'!$C$5:$C$11,MATCH(F25,'4_Resumo'!$B$5:$B$11,0))</f>
        <v/>
      </c>
      <c r="H25" s="5">
        <f>INDEX('4_Resumo'!$D$5:$D$11,MATCH(F25,'4_Resumo'!$B$5:$B$11,0))</f>
        <v/>
      </c>
      <c r="I25" s="5" t="inlineStr">
        <is>
          <t>C6H12O6 (hexoses)</t>
        </is>
      </c>
      <c r="J25" s="37" t="inlineStr">
        <is>
          <t>3</t>
        </is>
      </c>
      <c r="K25" s="5" t="inlineStr">
        <is>
          <t>Hexose comum; isômero de glicose/frutose (estas relatadas em V. planifolia). Reanotar como 'hexose'.</t>
        </is>
      </c>
      <c r="L25" s="37" t="inlineStr">
        <is>
          <t>R1</t>
        </is>
      </c>
    </row>
    <row r="26">
      <c r="A26" s="37" t="n">
        <v>25</v>
      </c>
      <c r="B26" s="5" t="inlineStr">
        <is>
          <t>Acetoacetate</t>
        </is>
      </c>
      <c r="C26" s="5" t="inlineStr">
        <is>
          <t>Cetoácido</t>
        </is>
      </c>
      <c r="D26" s="5">
        <f>COUNTIF('2_Limpo'!$C$2:$C$149,B26)</f>
        <v/>
      </c>
      <c r="E26" s="5" t="inlineStr">
        <is>
          <t>25</t>
        </is>
      </c>
      <c r="F26" s="37" t="inlineStr">
        <is>
          <t>C</t>
        </is>
      </c>
      <c r="G26" s="5">
        <f>INDEX('4_Resumo'!$C$5:$C$11,MATCH(F26,'4_Resumo'!$B$5:$B$11,0))</f>
        <v/>
      </c>
      <c r="H26" s="5">
        <f>INDEX('4_Resumo'!$D$5:$D$11,MATCH(F26,'4_Resumo'!$B$5:$B$11,0))</f>
        <v/>
      </c>
      <c r="I26" s="5" t="inlineStr">
        <is>
          <t>—</t>
        </is>
      </c>
      <c r="J26" s="37" t="inlineStr">
        <is>
          <t>2</t>
        </is>
      </c>
      <c r="K26" s="5" t="inlineStr">
        <is>
          <t>Intermediário do metabolismo primário; baixa especificidade.</t>
        </is>
      </c>
      <c r="L26" s="37" t="inlineStr">
        <is>
          <t>—</t>
        </is>
      </c>
    </row>
    <row r="27">
      <c r="A27" s="37" t="n">
        <v>26</v>
      </c>
      <c r="B27" s="5" t="inlineStr">
        <is>
          <t>d-Dethiobiotin</t>
        </is>
      </c>
      <c r="C27" s="5" t="inlineStr">
        <is>
          <t>Cofator (precursor de biotina)</t>
        </is>
      </c>
      <c r="D27" s="5">
        <f>COUNTIF('2_Limpo'!$C$2:$C$149,B27)</f>
        <v/>
      </c>
      <c r="E27" s="5" t="inlineStr">
        <is>
          <t>39</t>
        </is>
      </c>
      <c r="F27" s="37" t="inlineStr">
        <is>
          <t>C</t>
        </is>
      </c>
      <c r="G27" s="5">
        <f>INDEX('4_Resumo'!$C$5:$C$11,MATCH(F27,'4_Resumo'!$B$5:$B$11,0))</f>
        <v/>
      </c>
      <c r="H27" s="5">
        <f>INDEX('4_Resumo'!$D$5:$D$11,MATCH(F27,'4_Resumo'!$B$5:$B$11,0))</f>
        <v/>
      </c>
      <c r="I27" s="5" t="inlineStr">
        <is>
          <t>—</t>
        </is>
      </c>
      <c r="J27" s="37" t="inlineStr">
        <is>
          <t>2</t>
        </is>
      </c>
      <c r="K27" s="5" t="inlineStr">
        <is>
          <t>Intermediário da biossíntese de biotina, presente em plantas.</t>
        </is>
      </c>
      <c r="L27" s="37" t="inlineStr">
        <is>
          <t>—</t>
        </is>
      </c>
    </row>
    <row r="28">
      <c r="A28" s="37" t="n">
        <v>27</v>
      </c>
      <c r="B28" s="5" t="inlineStr">
        <is>
          <t>LysoPC(16:0)</t>
        </is>
      </c>
      <c r="C28" s="5" t="inlineStr">
        <is>
          <t>Fosfolipídio</t>
        </is>
      </c>
      <c r="D28" s="5">
        <f>COUNTIF('2_Limpo'!$C$2:$C$149,B28)</f>
        <v/>
      </c>
      <c r="E28" s="5" t="inlineStr">
        <is>
          <t>132</t>
        </is>
      </c>
      <c r="F28" s="37" t="inlineStr">
        <is>
          <t>C</t>
        </is>
      </c>
      <c r="G28" s="5">
        <f>INDEX('4_Resumo'!$C$5:$C$11,MATCH(F28,'4_Resumo'!$B$5:$B$11,0))</f>
        <v/>
      </c>
      <c r="H28" s="5">
        <f>INDEX('4_Resumo'!$D$5:$D$11,MATCH(F28,'4_Resumo'!$B$5:$B$11,0))</f>
        <v/>
      </c>
      <c r="I28" s="5" t="inlineStr">
        <is>
          <t>—</t>
        </is>
      </c>
      <c r="J28" s="37" t="inlineStr">
        <is>
          <t>2</t>
        </is>
      </c>
      <c r="K28" s="5" t="inlineStr">
        <is>
          <t>Lisofosfolipídio de membrana; também pode surgir por fragmentação in-source.</t>
        </is>
      </c>
      <c r="L28" s="37" t="inlineStr">
        <is>
          <t>—</t>
        </is>
      </c>
    </row>
    <row r="29">
      <c r="A29" s="37" t="n">
        <v>28</v>
      </c>
      <c r="B29" s="5" t="inlineStr">
        <is>
          <t>PC(16:0/18:1) (POPC)</t>
        </is>
      </c>
      <c r="C29" s="5" t="inlineStr">
        <is>
          <t>Fosfolipídio</t>
        </is>
      </c>
      <c r="D29" s="5">
        <f>COUNTIF('2_Limpo'!$C$2:$C$149,B29)</f>
        <v/>
      </c>
      <c r="E29" s="5" t="inlineStr">
        <is>
          <t>112</t>
        </is>
      </c>
      <c r="F29" s="37" t="inlineStr">
        <is>
          <t>C</t>
        </is>
      </c>
      <c r="G29" s="5">
        <f>INDEX('4_Resumo'!$C$5:$C$11,MATCH(F29,'4_Resumo'!$B$5:$B$11,0))</f>
        <v/>
      </c>
      <c r="H29" s="5">
        <f>INDEX('4_Resumo'!$D$5:$D$11,MATCH(F29,'4_Resumo'!$B$5:$B$11,0))</f>
        <v/>
      </c>
      <c r="I29" s="5" t="inlineStr">
        <is>
          <t>—</t>
        </is>
      </c>
      <c r="J29" s="37" t="inlineStr">
        <is>
          <t>2</t>
        </is>
      </c>
      <c r="K29" s="5" t="inlineStr">
        <is>
          <t>Fosfatidilcolina de membrana com ácidos graxos típicos de plantas.</t>
        </is>
      </c>
      <c r="L29" s="37" t="inlineStr">
        <is>
          <t>—</t>
        </is>
      </c>
    </row>
    <row r="30">
      <c r="A30" s="37" t="n">
        <v>29</v>
      </c>
      <c r="B30" s="5" t="inlineStr">
        <is>
          <t>PC(16:0/18:2) (PLPC)</t>
        </is>
      </c>
      <c r="C30" s="5" t="inlineStr">
        <is>
          <t>Fosfolipídio</t>
        </is>
      </c>
      <c r="D30" s="5">
        <f>COUNTIF('2_Limpo'!$C$2:$C$149,B30)</f>
        <v/>
      </c>
      <c r="E30" s="5" t="inlineStr">
        <is>
          <t>113</t>
        </is>
      </c>
      <c r="F30" s="37" t="inlineStr">
        <is>
          <t>C</t>
        </is>
      </c>
      <c r="G30" s="5">
        <f>INDEX('4_Resumo'!$C$5:$C$11,MATCH(F30,'4_Resumo'!$B$5:$B$11,0))</f>
        <v/>
      </c>
      <c r="H30" s="5">
        <f>INDEX('4_Resumo'!$D$5:$D$11,MATCH(F30,'4_Resumo'!$B$5:$B$11,0))</f>
        <v/>
      </c>
      <c r="I30" s="5" t="inlineStr">
        <is>
          <t>—</t>
        </is>
      </c>
      <c r="J30" s="37" t="inlineStr">
        <is>
          <t>2</t>
        </is>
      </c>
      <c r="K30" s="5" t="inlineStr">
        <is>
          <t>Fosfatidilcolina de membrana com ácidos graxos típicos de plantas.</t>
        </is>
      </c>
      <c r="L30" s="37" t="inlineStr">
        <is>
          <t>—</t>
        </is>
      </c>
    </row>
    <row r="31">
      <c r="A31" s="37" t="n">
        <v>30</v>
      </c>
      <c r="B31" s="5" t="inlineStr">
        <is>
          <t>DAG(16:0/18:2)</t>
        </is>
      </c>
      <c r="C31" s="5" t="inlineStr">
        <is>
          <t>Glicerolipídio</t>
        </is>
      </c>
      <c r="D31" s="5">
        <f>COUNTIF('2_Limpo'!$C$2:$C$149,B31)</f>
        <v/>
      </c>
      <c r="E31" s="5" t="inlineStr">
        <is>
          <t>38</t>
        </is>
      </c>
      <c r="F31" s="37" t="inlineStr">
        <is>
          <t>C</t>
        </is>
      </c>
      <c r="G31" s="5">
        <f>INDEX('4_Resumo'!$C$5:$C$11,MATCH(F31,'4_Resumo'!$B$5:$B$11,0))</f>
        <v/>
      </c>
      <c r="H31" s="5">
        <f>INDEX('4_Resumo'!$D$5:$D$11,MATCH(F31,'4_Resumo'!$B$5:$B$11,0))</f>
        <v/>
      </c>
      <c r="I31" s="5" t="inlineStr">
        <is>
          <t>—</t>
        </is>
      </c>
      <c r="J31" s="37" t="inlineStr">
        <is>
          <t>2</t>
        </is>
      </c>
      <c r="K31" s="5" t="inlineStr">
        <is>
          <t>Diacilglicerol com ácidos graxos típicos de plantas; acilgliceróis relatados em V. planifolia.</t>
        </is>
      </c>
      <c r="L31" s="37" t="inlineStr">
        <is>
          <t>R1</t>
        </is>
      </c>
    </row>
    <row r="32">
      <c r="A32" s="37" t="n">
        <v>31</v>
      </c>
      <c r="B32" s="5" t="inlineStr">
        <is>
          <t>Dilinolenin (DAG 18:3/18:3)</t>
        </is>
      </c>
      <c r="C32" s="5" t="inlineStr">
        <is>
          <t>Glicerolipídio</t>
        </is>
      </c>
      <c r="D32" s="5">
        <f>COUNTIF('2_Limpo'!$C$2:$C$149,B32)</f>
        <v/>
      </c>
      <c r="E32" s="5" t="inlineStr">
        <is>
          <t>124</t>
        </is>
      </c>
      <c r="F32" s="37" t="inlineStr">
        <is>
          <t>C</t>
        </is>
      </c>
      <c r="G32" s="5">
        <f>INDEX('4_Resumo'!$C$5:$C$11,MATCH(F32,'4_Resumo'!$B$5:$B$11,0))</f>
        <v/>
      </c>
      <c r="H32" s="5">
        <f>INDEX('4_Resumo'!$D$5:$D$11,MATCH(F32,'4_Resumo'!$B$5:$B$11,0))</f>
        <v/>
      </c>
      <c r="I32" s="5" t="inlineStr">
        <is>
          <t>DAG 36:6 (α/γ-18:3)</t>
        </is>
      </c>
      <c r="J32" s="37" t="inlineStr">
        <is>
          <t>3</t>
        </is>
      </c>
      <c r="K32" s="5" t="inlineStr">
        <is>
          <t>A biblioteca indica gama-linolênico (18:3 n-6), raro em plantas; o isômero alfa (18:3 n-3) é o esperado. Reanotar como DAG 18:3/18:3.</t>
        </is>
      </c>
      <c r="L32" s="37" t="inlineStr">
        <is>
          <t>R1</t>
        </is>
      </c>
    </row>
    <row r="33">
      <c r="A33" s="37" t="n">
        <v>32</v>
      </c>
      <c r="B33" s="5" t="inlineStr">
        <is>
          <t>Indole-3-acetic acid</t>
        </is>
      </c>
      <c r="C33" s="5" t="inlineStr">
        <is>
          <t>Indol (auxina)</t>
        </is>
      </c>
      <c r="D33" s="5">
        <f>COUNTIF('2_Limpo'!$C$2:$C$149,B33)</f>
        <v/>
      </c>
      <c r="E33" s="5" t="inlineStr">
        <is>
          <t>55</t>
        </is>
      </c>
      <c r="F33" s="37" t="inlineStr">
        <is>
          <t>C</t>
        </is>
      </c>
      <c r="G33" s="5">
        <f>INDEX('4_Resumo'!$C$5:$C$11,MATCH(F33,'4_Resumo'!$B$5:$B$11,0))</f>
        <v/>
      </c>
      <c r="H33" s="5">
        <f>INDEX('4_Resumo'!$D$5:$D$11,MATCH(F33,'4_Resumo'!$B$5:$B$11,0))</f>
        <v/>
      </c>
      <c r="I33" s="5" t="inlineStr">
        <is>
          <t>—</t>
        </is>
      </c>
      <c r="J33" s="37" t="inlineStr">
        <is>
          <t>2</t>
        </is>
      </c>
      <c r="K33" s="5" t="inlineStr">
        <is>
          <t>Auxina universal em plantas; indol-3-carbaldeído relatado em V. planifolia.</t>
        </is>
      </c>
      <c r="L33" s="37" t="inlineStr">
        <is>
          <t>R1</t>
        </is>
      </c>
    </row>
    <row r="34">
      <c r="A34" s="37" t="n">
        <v>33</v>
      </c>
      <c r="B34" s="5" t="inlineStr">
        <is>
          <t>5'-Methylthioadenosine (MTA)</t>
        </is>
      </c>
      <c r="C34" s="5" t="inlineStr">
        <is>
          <t>Nucleosídeo</t>
        </is>
      </c>
      <c r="D34" s="5">
        <f>COUNTIF('2_Limpo'!$C$2:$C$149,B34)</f>
        <v/>
      </c>
      <c r="E34" s="5" t="inlineStr">
        <is>
          <t>90, 122</t>
        </is>
      </c>
      <c r="F34" s="37" t="inlineStr">
        <is>
          <t>C</t>
        </is>
      </c>
      <c r="G34" s="5">
        <f>INDEX('4_Resumo'!$C$5:$C$11,MATCH(F34,'4_Resumo'!$B$5:$B$11,0))</f>
        <v/>
      </c>
      <c r="H34" s="5">
        <f>INDEX('4_Resumo'!$D$5:$D$11,MATCH(F34,'4_Resumo'!$B$5:$B$11,0))</f>
        <v/>
      </c>
      <c r="I34" s="5" t="inlineStr">
        <is>
          <t>—</t>
        </is>
      </c>
      <c r="J34" s="37" t="inlineStr">
        <is>
          <t>2</t>
        </is>
      </c>
      <c r="K34" s="5" t="inlineStr">
        <is>
          <t>Subproduto universal da síntese de poliaminas/etileno; espermidina já relatada em V. planifolia.</t>
        </is>
      </c>
      <c r="L34" s="37" t="inlineStr">
        <is>
          <t>R1</t>
        </is>
      </c>
    </row>
    <row r="35">
      <c r="A35" s="37" t="n">
        <v>34</v>
      </c>
      <c r="B35" s="5" t="inlineStr">
        <is>
          <t>Guanosine</t>
        </is>
      </c>
      <c r="C35" s="5" t="inlineStr">
        <is>
          <t>Nucleosídeo</t>
        </is>
      </c>
      <c r="D35" s="5">
        <f>COUNTIF('2_Limpo'!$C$2:$C$149,B35)</f>
        <v/>
      </c>
      <c r="E35" s="5" t="inlineStr">
        <is>
          <t>50, 51</t>
        </is>
      </c>
      <c r="F35" s="37" t="inlineStr">
        <is>
          <t>C</t>
        </is>
      </c>
      <c r="G35" s="5">
        <f>INDEX('4_Resumo'!$C$5:$C$11,MATCH(F35,'4_Resumo'!$B$5:$B$11,0))</f>
        <v/>
      </c>
      <c r="H35" s="5">
        <f>INDEX('4_Resumo'!$D$5:$D$11,MATCH(F35,'4_Resumo'!$B$5:$B$11,0))</f>
        <v/>
      </c>
      <c r="I35" s="5" t="inlineStr">
        <is>
          <t>—</t>
        </is>
      </c>
      <c r="J35" s="37" t="inlineStr">
        <is>
          <t>2</t>
        </is>
      </c>
      <c r="K35" s="5" t="inlineStr">
        <is>
          <t>Metabólito primário universal.</t>
        </is>
      </c>
      <c r="L35" s="37" t="inlineStr">
        <is>
          <t>—</t>
        </is>
      </c>
    </row>
    <row r="36">
      <c r="A36" s="37" t="n">
        <v>35</v>
      </c>
      <c r="B36" s="5" t="inlineStr">
        <is>
          <t>9(10)-EpOME</t>
        </is>
      </c>
      <c r="C36" s="5" t="inlineStr">
        <is>
          <t>Oxilipina</t>
        </is>
      </c>
      <c r="D36" s="5">
        <f>COUNTIF('2_Limpo'!$C$2:$C$149,B36)</f>
        <v/>
      </c>
      <c r="E36" s="5" t="inlineStr">
        <is>
          <t>117</t>
        </is>
      </c>
      <c r="F36" s="37" t="inlineStr">
        <is>
          <t>C</t>
        </is>
      </c>
      <c r="G36" s="5">
        <f>INDEX('4_Resumo'!$C$5:$C$11,MATCH(F36,'4_Resumo'!$B$5:$B$11,0))</f>
        <v/>
      </c>
      <c r="H36" s="5">
        <f>INDEX('4_Resumo'!$D$5:$D$11,MATCH(F36,'4_Resumo'!$B$5:$B$11,0))</f>
        <v/>
      </c>
      <c r="I36" s="5" t="inlineStr">
        <is>
          <t>—</t>
        </is>
      </c>
      <c r="J36" s="37" t="inlineStr">
        <is>
          <t>2</t>
        </is>
      </c>
      <c r="K36" s="5" t="inlineStr">
        <is>
          <t>Epóxido de ácido linoleico (via oxilipinas). A via LOX foi destacada em folhas de V. planifolia (estudo não acessado).</t>
        </is>
      </c>
      <c r="L36" s="37" t="inlineStr">
        <is>
          <t>—</t>
        </is>
      </c>
    </row>
    <row r="37">
      <c r="A37" s="37" t="n">
        <v>36</v>
      </c>
      <c r="B37" s="5" t="inlineStr">
        <is>
          <t>9(S)-HpOTrE</t>
        </is>
      </c>
      <c r="C37" s="5" t="inlineStr">
        <is>
          <t>Oxilipina</t>
        </is>
      </c>
      <c r="D37" s="5">
        <f>COUNTIF('2_Limpo'!$C$2:$C$149,B37)</f>
        <v/>
      </c>
      <c r="E37" s="5" t="inlineStr">
        <is>
          <t>119</t>
        </is>
      </c>
      <c r="F37" s="37" t="inlineStr">
        <is>
          <t>C</t>
        </is>
      </c>
      <c r="G37" s="5">
        <f>INDEX('4_Resumo'!$C$5:$C$11,MATCH(F37,'4_Resumo'!$B$5:$B$11,0))</f>
        <v/>
      </c>
      <c r="H37" s="5">
        <f>INDEX('4_Resumo'!$D$5:$D$11,MATCH(F37,'4_Resumo'!$B$5:$B$11,0))</f>
        <v/>
      </c>
      <c r="I37" s="5" t="inlineStr">
        <is>
          <t>—</t>
        </is>
      </c>
      <c r="J37" s="37" t="inlineStr">
        <is>
          <t>2</t>
        </is>
      </c>
      <c r="K37" s="5" t="inlineStr">
        <is>
          <t>Hidroperóxido de α-linolênico, produto direto da 9-LOX vegetal.</t>
        </is>
      </c>
      <c r="L37" s="37" t="inlineStr">
        <is>
          <t>—</t>
        </is>
      </c>
    </row>
    <row r="38">
      <c r="A38" s="37" t="n">
        <v>37</v>
      </c>
      <c r="B38" s="5" t="inlineStr">
        <is>
          <t>Methyl jasmonate</t>
        </is>
      </c>
      <c r="C38" s="5" t="inlineStr">
        <is>
          <t>Oxilipina / fitormônio</t>
        </is>
      </c>
      <c r="D38" s="5">
        <f>COUNTIF('2_Limpo'!$C$2:$C$149,B38)</f>
        <v/>
      </c>
      <c r="E38" s="5" t="inlineStr">
        <is>
          <t>61</t>
        </is>
      </c>
      <c r="F38" s="37" t="inlineStr">
        <is>
          <t>C</t>
        </is>
      </c>
      <c r="G38" s="5">
        <f>INDEX('4_Resumo'!$C$5:$C$11,MATCH(F38,'4_Resumo'!$B$5:$B$11,0))</f>
        <v/>
      </c>
      <c r="H38" s="5">
        <f>INDEX('4_Resumo'!$D$5:$D$11,MATCH(F38,'4_Resumo'!$B$5:$B$11,0))</f>
        <v/>
      </c>
      <c r="I38" s="5" t="inlineStr">
        <is>
          <t>—</t>
        </is>
      </c>
      <c r="J38" s="37" t="inlineStr">
        <is>
          <t>2</t>
        </is>
      </c>
      <c r="K38" s="5" t="inlineStr">
        <is>
          <t>Fitormônio universal da via LOX.</t>
        </is>
      </c>
      <c r="L38" s="37" t="inlineStr">
        <is>
          <t>—</t>
        </is>
      </c>
    </row>
    <row r="39">
      <c r="A39" s="37" t="n">
        <v>38</v>
      </c>
      <c r="B39" s="5" t="inlineStr">
        <is>
          <t>Asp-Phe</t>
        </is>
      </c>
      <c r="C39" s="5" t="inlineStr">
        <is>
          <t>Peptídeo</t>
        </is>
      </c>
      <c r="D39" s="5">
        <f>COUNTIF('2_Limpo'!$C$2:$C$149,B39)</f>
        <v/>
      </c>
      <c r="E39" s="5" t="inlineStr">
        <is>
          <t>31</t>
        </is>
      </c>
      <c r="F39" s="37" t="inlineStr">
        <is>
          <t>C</t>
        </is>
      </c>
      <c r="G39" s="5">
        <f>INDEX('4_Resumo'!$C$5:$C$11,MATCH(F39,'4_Resumo'!$B$5:$B$11,0))</f>
        <v/>
      </c>
      <c r="H39" s="5">
        <f>INDEX('4_Resumo'!$D$5:$D$11,MATCH(F39,'4_Resumo'!$B$5:$B$11,0))</f>
        <v/>
      </c>
      <c r="I39" s="5" t="inlineStr">
        <is>
          <t>—</t>
        </is>
      </c>
      <c r="J39" s="37" t="inlineStr">
        <is>
          <t>2</t>
        </is>
      </c>
      <c r="K39" s="5" t="inlineStr">
        <is>
          <t>Peptídeo curto de degradação proteica; plausível, mas inespecífico. Atenção: Asp-Phe também é produto de hidrólise do aspartame.</t>
        </is>
      </c>
      <c r="L39" s="37" t="inlineStr">
        <is>
          <t>—</t>
        </is>
      </c>
    </row>
    <row r="40">
      <c r="A40" s="37" t="n">
        <v>39</v>
      </c>
      <c r="B40" s="5" t="inlineStr">
        <is>
          <t>Gly-Leu</t>
        </is>
      </c>
      <c r="C40" s="5" t="inlineStr">
        <is>
          <t>Peptídeo</t>
        </is>
      </c>
      <c r="D40" s="5">
        <f>COUNTIF('2_Limpo'!$C$2:$C$149,B40)</f>
        <v/>
      </c>
      <c r="E40" s="5" t="inlineStr">
        <is>
          <t>46, 47, 126</t>
        </is>
      </c>
      <c r="F40" s="37" t="inlineStr">
        <is>
          <t>C</t>
        </is>
      </c>
      <c r="G40" s="5">
        <f>INDEX('4_Resumo'!$C$5:$C$11,MATCH(F40,'4_Resumo'!$B$5:$B$11,0))</f>
        <v/>
      </c>
      <c r="H40" s="5">
        <f>INDEX('4_Resumo'!$D$5:$D$11,MATCH(F40,'4_Resumo'!$B$5:$B$11,0))</f>
        <v/>
      </c>
      <c r="I40" s="5" t="inlineStr">
        <is>
          <t>—</t>
        </is>
      </c>
      <c r="J40" s="37" t="inlineStr">
        <is>
          <t>2</t>
        </is>
      </c>
      <c r="K40" s="5" t="inlineStr">
        <is>
          <t>Peptídeo curto de degradação proteica; plausível, mas inespecífico.</t>
        </is>
      </c>
      <c r="L40" s="37" t="inlineStr">
        <is>
          <t>—</t>
        </is>
      </c>
    </row>
    <row r="41">
      <c r="A41" s="37" t="n">
        <v>40</v>
      </c>
      <c r="B41" s="5" t="inlineStr">
        <is>
          <t>Gly-Phe</t>
        </is>
      </c>
      <c r="C41" s="5" t="inlineStr">
        <is>
          <t>Peptídeo</t>
        </is>
      </c>
      <c r="D41" s="5">
        <f>COUNTIF('2_Limpo'!$C$2:$C$149,B41)</f>
        <v/>
      </c>
      <c r="E41" s="5" t="inlineStr">
        <is>
          <t>127</t>
        </is>
      </c>
      <c r="F41" s="37" t="inlineStr">
        <is>
          <t>C</t>
        </is>
      </c>
      <c r="G41" s="5">
        <f>INDEX('4_Resumo'!$C$5:$C$11,MATCH(F41,'4_Resumo'!$B$5:$B$11,0))</f>
        <v/>
      </c>
      <c r="H41" s="5">
        <f>INDEX('4_Resumo'!$D$5:$D$11,MATCH(F41,'4_Resumo'!$B$5:$B$11,0))</f>
        <v/>
      </c>
      <c r="I41" s="5" t="inlineStr">
        <is>
          <t>—</t>
        </is>
      </c>
      <c r="J41" s="37" t="inlineStr">
        <is>
          <t>2</t>
        </is>
      </c>
      <c r="K41" s="5" t="inlineStr">
        <is>
          <t>Peptídeo curto de degradação proteica; plausível, mas inespecífico.</t>
        </is>
      </c>
      <c r="L41" s="37" t="inlineStr">
        <is>
          <t>—</t>
        </is>
      </c>
    </row>
    <row r="42">
      <c r="A42" s="37" t="n">
        <v>41</v>
      </c>
      <c r="B42" s="5" t="inlineStr">
        <is>
          <t>Ile-Ile-Lys</t>
        </is>
      </c>
      <c r="C42" s="5" t="inlineStr">
        <is>
          <t>Peptídeo</t>
        </is>
      </c>
      <c r="D42" s="5">
        <f>COUNTIF('2_Limpo'!$C$2:$C$149,B42)</f>
        <v/>
      </c>
      <c r="E42" s="5" t="inlineStr">
        <is>
          <t>129</t>
        </is>
      </c>
      <c r="F42" s="37" t="inlineStr">
        <is>
          <t>C</t>
        </is>
      </c>
      <c r="G42" s="5">
        <f>INDEX('4_Resumo'!$C$5:$C$11,MATCH(F42,'4_Resumo'!$B$5:$B$11,0))</f>
        <v/>
      </c>
      <c r="H42" s="5">
        <f>INDEX('4_Resumo'!$D$5:$D$11,MATCH(F42,'4_Resumo'!$B$5:$B$11,0))</f>
        <v/>
      </c>
      <c r="I42" s="5" t="inlineStr">
        <is>
          <t>—</t>
        </is>
      </c>
      <c r="J42" s="37" t="inlineStr">
        <is>
          <t>2</t>
        </is>
      </c>
      <c r="K42" s="5" t="inlineStr">
        <is>
          <t>Peptídeo curto de degradação proteica; plausível, mas inespecífico.</t>
        </is>
      </c>
      <c r="L42" s="37" t="inlineStr">
        <is>
          <t>—</t>
        </is>
      </c>
    </row>
    <row r="43">
      <c r="A43" s="37" t="n">
        <v>42</v>
      </c>
      <c r="B43" s="5" t="inlineStr">
        <is>
          <t>Ile-Pro</t>
        </is>
      </c>
      <c r="C43" s="5" t="inlineStr">
        <is>
          <t>Peptídeo</t>
        </is>
      </c>
      <c r="D43" s="5">
        <f>COUNTIF('2_Limpo'!$C$2:$C$149,B43)</f>
        <v/>
      </c>
      <c r="E43" s="5" t="inlineStr">
        <is>
          <t>130</t>
        </is>
      </c>
      <c r="F43" s="37" t="inlineStr">
        <is>
          <t>C</t>
        </is>
      </c>
      <c r="G43" s="5">
        <f>INDEX('4_Resumo'!$C$5:$C$11,MATCH(F43,'4_Resumo'!$B$5:$B$11,0))</f>
        <v/>
      </c>
      <c r="H43" s="5">
        <f>INDEX('4_Resumo'!$D$5:$D$11,MATCH(F43,'4_Resumo'!$B$5:$B$11,0))</f>
        <v/>
      </c>
      <c r="I43" s="5" t="inlineStr">
        <is>
          <t>C11H20N2O3 (Ile-Pro/Leu-Pro)</t>
        </is>
      </c>
      <c r="J43" s="37" t="inlineStr">
        <is>
          <t>3</t>
        </is>
      </c>
      <c r="K43" s="5" t="inlineStr">
        <is>
          <t>Peptídeo curto; isômero de Leu-Pro (não distinguíveis).</t>
        </is>
      </c>
      <c r="L43" s="37" t="inlineStr">
        <is>
          <t>—</t>
        </is>
      </c>
    </row>
    <row r="44">
      <c r="A44" s="37" t="n">
        <v>43</v>
      </c>
      <c r="B44" s="5" t="inlineStr">
        <is>
          <t>Leu-Pro</t>
        </is>
      </c>
      <c r="C44" s="5" t="inlineStr">
        <is>
          <t>Peptídeo</t>
        </is>
      </c>
      <c r="D44" s="5">
        <f>COUNTIF('2_Limpo'!$C$2:$C$149,B44)</f>
        <v/>
      </c>
      <c r="E44" s="5" t="inlineStr">
        <is>
          <t>131</t>
        </is>
      </c>
      <c r="F44" s="37" t="inlineStr">
        <is>
          <t>C</t>
        </is>
      </c>
      <c r="G44" s="5">
        <f>INDEX('4_Resumo'!$C$5:$C$11,MATCH(F44,'4_Resumo'!$B$5:$B$11,0))</f>
        <v/>
      </c>
      <c r="H44" s="5">
        <f>INDEX('4_Resumo'!$D$5:$D$11,MATCH(F44,'4_Resumo'!$B$5:$B$11,0))</f>
        <v/>
      </c>
      <c r="I44" s="5" t="inlineStr">
        <is>
          <t>C11H20N2O3 (Ile-Pro/Leu-Pro)</t>
        </is>
      </c>
      <c r="J44" s="37" t="inlineStr">
        <is>
          <t>3</t>
        </is>
      </c>
      <c r="K44" s="5" t="inlineStr">
        <is>
          <t>Peptídeo curto; isômero de Ile-Pro (não distinguíveis).</t>
        </is>
      </c>
      <c r="L44" s="37" t="inlineStr">
        <is>
          <t>—</t>
        </is>
      </c>
    </row>
    <row r="45">
      <c r="A45" s="37" t="n">
        <v>44</v>
      </c>
      <c r="B45" s="5" t="inlineStr">
        <is>
          <t>Met-Phe</t>
        </is>
      </c>
      <c r="C45" s="5" t="inlineStr">
        <is>
          <t>Peptídeo</t>
        </is>
      </c>
      <c r="D45" s="5">
        <f>COUNTIF('2_Limpo'!$C$2:$C$149,B45)</f>
        <v/>
      </c>
      <c r="E45" s="5" t="inlineStr">
        <is>
          <t>133</t>
        </is>
      </c>
      <c r="F45" s="37" t="inlineStr">
        <is>
          <t>C</t>
        </is>
      </c>
      <c r="G45" s="5">
        <f>INDEX('4_Resumo'!$C$5:$C$11,MATCH(F45,'4_Resumo'!$B$5:$B$11,0))</f>
        <v/>
      </c>
      <c r="H45" s="5">
        <f>INDEX('4_Resumo'!$D$5:$D$11,MATCH(F45,'4_Resumo'!$B$5:$B$11,0))</f>
        <v/>
      </c>
      <c r="I45" s="5" t="inlineStr">
        <is>
          <t>—</t>
        </is>
      </c>
      <c r="J45" s="37" t="inlineStr">
        <is>
          <t>2</t>
        </is>
      </c>
      <c r="K45" s="5" t="inlineStr">
        <is>
          <t>Peptídeo curto de degradação proteica; plausível, mas inespecífico.</t>
        </is>
      </c>
      <c r="L45" s="37" t="inlineStr">
        <is>
          <t>—</t>
        </is>
      </c>
    </row>
    <row r="46">
      <c r="A46" s="37" t="n">
        <v>45</v>
      </c>
      <c r="B46" s="5" t="inlineStr">
        <is>
          <t>Phe-Pro</t>
        </is>
      </c>
      <c r="C46" s="5" t="inlineStr">
        <is>
          <t>Peptídeo</t>
        </is>
      </c>
      <c r="D46" s="5">
        <f>COUNTIF('2_Limpo'!$C$2:$C$149,B46)</f>
        <v/>
      </c>
      <c r="E46" s="5" t="inlineStr">
        <is>
          <t>134</t>
        </is>
      </c>
      <c r="F46" s="37" t="inlineStr">
        <is>
          <t>C</t>
        </is>
      </c>
      <c r="G46" s="5">
        <f>INDEX('4_Resumo'!$C$5:$C$11,MATCH(F46,'4_Resumo'!$B$5:$B$11,0))</f>
        <v/>
      </c>
      <c r="H46" s="5">
        <f>INDEX('4_Resumo'!$D$5:$D$11,MATCH(F46,'4_Resumo'!$B$5:$B$11,0))</f>
        <v/>
      </c>
      <c r="I46" s="5" t="inlineStr">
        <is>
          <t>C14H18N2O3 (Phe-Pro/Pro-Phe)</t>
        </is>
      </c>
      <c r="J46" s="37" t="inlineStr">
        <is>
          <t>3</t>
        </is>
      </c>
      <c r="K46" s="5" t="inlineStr">
        <is>
          <t>Peptídeo curto; isômero de sequência de Pro-Phe.</t>
        </is>
      </c>
      <c r="L46" s="37" t="inlineStr">
        <is>
          <t>—</t>
        </is>
      </c>
    </row>
    <row r="47">
      <c r="A47" s="37" t="n">
        <v>46</v>
      </c>
      <c r="B47" s="5" t="inlineStr">
        <is>
          <t>Pro-Phe</t>
        </is>
      </c>
      <c r="C47" s="5" t="inlineStr">
        <is>
          <t>Peptídeo</t>
        </is>
      </c>
      <c r="D47" s="5">
        <f>COUNTIF('2_Limpo'!$C$2:$C$149,B47)</f>
        <v/>
      </c>
      <c r="E47" s="5" t="inlineStr">
        <is>
          <t>135</t>
        </is>
      </c>
      <c r="F47" s="37" t="inlineStr">
        <is>
          <t>C</t>
        </is>
      </c>
      <c r="G47" s="5">
        <f>INDEX('4_Resumo'!$C$5:$C$11,MATCH(F47,'4_Resumo'!$B$5:$B$11,0))</f>
        <v/>
      </c>
      <c r="H47" s="5">
        <f>INDEX('4_Resumo'!$D$5:$D$11,MATCH(F47,'4_Resumo'!$B$5:$B$11,0))</f>
        <v/>
      </c>
      <c r="I47" s="5" t="inlineStr">
        <is>
          <t>C14H18N2O3 (Phe-Pro/Pro-Phe)</t>
        </is>
      </c>
      <c r="J47" s="37" t="inlineStr">
        <is>
          <t>3</t>
        </is>
      </c>
      <c r="K47" s="5" t="inlineStr">
        <is>
          <t>Peptídeo curto; isômero de sequência de Phe-Pro.</t>
        </is>
      </c>
      <c r="L47" s="37" t="inlineStr">
        <is>
          <t>—</t>
        </is>
      </c>
    </row>
    <row r="48">
      <c r="A48" s="37" t="n">
        <v>47</v>
      </c>
      <c r="B48" s="5" t="inlineStr">
        <is>
          <t>pyroGlu-Pro</t>
        </is>
      </c>
      <c r="C48" s="5" t="inlineStr">
        <is>
          <t>Peptídeo</t>
        </is>
      </c>
      <c r="D48" s="5">
        <f>COUNTIF('2_Limpo'!$C$2:$C$149,B48)</f>
        <v/>
      </c>
      <c r="E48" s="5" t="inlineStr">
        <is>
          <t>136</t>
        </is>
      </c>
      <c r="F48" s="37" t="inlineStr">
        <is>
          <t>C</t>
        </is>
      </c>
      <c r="G48" s="5">
        <f>INDEX('4_Resumo'!$C$5:$C$11,MATCH(F48,'4_Resumo'!$B$5:$B$11,0))</f>
        <v/>
      </c>
      <c r="H48" s="5">
        <f>INDEX('4_Resumo'!$D$5:$D$11,MATCH(F48,'4_Resumo'!$B$5:$B$11,0))</f>
        <v/>
      </c>
      <c r="I48" s="5" t="inlineStr">
        <is>
          <t>—</t>
        </is>
      </c>
      <c r="J48" s="37" t="inlineStr">
        <is>
          <t>2</t>
        </is>
      </c>
      <c r="K48" s="5" t="inlineStr">
        <is>
          <t>Piroglutamil-dipeptídeo; o piroglutamato também se forma na fonte de ionização (artefato in-source) a partir de Gln/Glu.</t>
        </is>
      </c>
      <c r="L48" s="37" t="inlineStr">
        <is>
          <t>—</t>
        </is>
      </c>
    </row>
    <row r="49">
      <c r="A49" s="37" t="n">
        <v>48</v>
      </c>
      <c r="B49" s="5" t="inlineStr">
        <is>
          <t>pyroGlu-Val</t>
        </is>
      </c>
      <c r="C49" s="5" t="inlineStr">
        <is>
          <t>Peptídeo</t>
        </is>
      </c>
      <c r="D49" s="5">
        <f>COUNTIF('2_Limpo'!$C$2:$C$149,B49)</f>
        <v/>
      </c>
      <c r="E49" s="5" t="inlineStr">
        <is>
          <t>137</t>
        </is>
      </c>
      <c r="F49" s="37" t="inlineStr">
        <is>
          <t>C</t>
        </is>
      </c>
      <c r="G49" s="5">
        <f>INDEX('4_Resumo'!$C$5:$C$11,MATCH(F49,'4_Resumo'!$B$5:$B$11,0))</f>
        <v/>
      </c>
      <c r="H49" s="5">
        <f>INDEX('4_Resumo'!$D$5:$D$11,MATCH(F49,'4_Resumo'!$B$5:$B$11,0))</f>
        <v/>
      </c>
      <c r="I49" s="5" t="inlineStr">
        <is>
          <t>—</t>
        </is>
      </c>
      <c r="J49" s="37" t="inlineStr">
        <is>
          <t>2</t>
        </is>
      </c>
      <c r="K49" s="5" t="inlineStr">
        <is>
          <t>Piroglutamil-dipeptídeo; mesma ressalva de artefato in-source.</t>
        </is>
      </c>
      <c r="L49" s="37" t="inlineStr">
        <is>
          <t>—</t>
        </is>
      </c>
    </row>
    <row r="50">
      <c r="A50" s="37" t="n">
        <v>49</v>
      </c>
      <c r="B50" s="5" t="inlineStr">
        <is>
          <t>Tyr-Val</t>
        </is>
      </c>
      <c r="C50" s="5" t="inlineStr">
        <is>
          <t>Peptídeo</t>
        </is>
      </c>
      <c r="D50" s="5">
        <f>COUNTIF('2_Limpo'!$C$2:$C$149,B50)</f>
        <v/>
      </c>
      <c r="E50" s="5" t="inlineStr">
        <is>
          <t>142</t>
        </is>
      </c>
      <c r="F50" s="37" t="inlineStr">
        <is>
          <t>C</t>
        </is>
      </c>
      <c r="G50" s="5">
        <f>INDEX('4_Resumo'!$C$5:$C$11,MATCH(F50,'4_Resumo'!$B$5:$B$11,0))</f>
        <v/>
      </c>
      <c r="H50" s="5">
        <f>INDEX('4_Resumo'!$D$5:$D$11,MATCH(F50,'4_Resumo'!$B$5:$B$11,0))</f>
        <v/>
      </c>
      <c r="I50" s="5" t="inlineStr">
        <is>
          <t>—</t>
        </is>
      </c>
      <c r="J50" s="37" t="inlineStr">
        <is>
          <t>2</t>
        </is>
      </c>
      <c r="K50" s="5" t="inlineStr">
        <is>
          <t>Peptídeo curto de degradação proteica; plausível, mas inespecífico.</t>
        </is>
      </c>
      <c r="L50" s="37" t="inlineStr">
        <is>
          <t>—</t>
        </is>
      </c>
    </row>
    <row r="51">
      <c r="A51" s="37" t="n">
        <v>50</v>
      </c>
      <c r="B51" s="5" t="inlineStr">
        <is>
          <t>Thymine</t>
        </is>
      </c>
      <c r="C51" s="5" t="inlineStr">
        <is>
          <t>Pirimidina</t>
        </is>
      </c>
      <c r="D51" s="5">
        <f>COUNTIF('2_Limpo'!$C$2:$C$149,B51)</f>
        <v/>
      </c>
      <c r="E51" s="5" t="inlineStr">
        <is>
          <t>147, 148</t>
        </is>
      </c>
      <c r="F51" s="37" t="inlineStr">
        <is>
          <t>C</t>
        </is>
      </c>
      <c r="G51" s="5">
        <f>INDEX('4_Resumo'!$C$5:$C$11,MATCH(F51,'4_Resumo'!$B$5:$B$11,0))</f>
        <v/>
      </c>
      <c r="H51" s="5">
        <f>INDEX('4_Resumo'!$D$5:$D$11,MATCH(F51,'4_Resumo'!$B$5:$B$11,0))</f>
        <v/>
      </c>
      <c r="I51" s="5" t="inlineStr">
        <is>
          <t>—</t>
        </is>
      </c>
      <c r="J51" s="37" t="inlineStr">
        <is>
          <t>2</t>
        </is>
      </c>
      <c r="K51" s="5" t="inlineStr">
        <is>
          <t>Metabólito primário universal.</t>
        </is>
      </c>
      <c r="L51" s="37" t="inlineStr">
        <is>
          <t>—</t>
        </is>
      </c>
    </row>
    <row r="52">
      <c r="A52" s="37" t="n">
        <v>51</v>
      </c>
      <c r="B52" s="5" t="inlineStr">
        <is>
          <t>Hypoxanthine</t>
        </is>
      </c>
      <c r="C52" s="5" t="inlineStr">
        <is>
          <t>Purina</t>
        </is>
      </c>
      <c r="D52" s="5">
        <f>COUNTIF('2_Limpo'!$C$2:$C$149,B52)</f>
        <v/>
      </c>
      <c r="E52" s="5" t="inlineStr">
        <is>
          <t>54</t>
        </is>
      </c>
      <c r="F52" s="37" t="inlineStr">
        <is>
          <t>C</t>
        </is>
      </c>
      <c r="G52" s="5">
        <f>INDEX('4_Resumo'!$C$5:$C$11,MATCH(F52,'4_Resumo'!$B$5:$B$11,0))</f>
        <v/>
      </c>
      <c r="H52" s="5">
        <f>INDEX('4_Resumo'!$D$5:$D$11,MATCH(F52,'4_Resumo'!$B$5:$B$11,0))</f>
        <v/>
      </c>
      <c r="I52" s="5" t="inlineStr">
        <is>
          <t>—</t>
        </is>
      </c>
      <c r="J52" s="37" t="inlineStr">
        <is>
          <t>2</t>
        </is>
      </c>
      <c r="K52" s="5" t="inlineStr">
        <is>
          <t>Metabólito primário universal (catabolismo de purinas).</t>
        </is>
      </c>
      <c r="L52" s="37" t="inlineStr">
        <is>
          <t>—</t>
        </is>
      </c>
    </row>
    <row r="53">
      <c r="A53" s="37" t="n">
        <v>52</v>
      </c>
      <c r="B53" s="5" t="inlineStr">
        <is>
          <t>13²-Hydroxypheophorbide a</t>
        </is>
      </c>
      <c r="C53" s="5" t="inlineStr">
        <is>
          <t>Tetrapirrol (catabólito de clorofila)</t>
        </is>
      </c>
      <c r="D53" s="5">
        <f>COUNTIF('2_Limpo'!$C$2:$C$149,B53)</f>
        <v/>
      </c>
      <c r="E53" s="5" t="inlineStr">
        <is>
          <t>10</t>
        </is>
      </c>
      <c r="F53" s="37" t="inlineStr">
        <is>
          <t>C</t>
        </is>
      </c>
      <c r="G53" s="5">
        <f>INDEX('4_Resumo'!$C$5:$C$11,MATCH(F53,'4_Resumo'!$B$5:$B$11,0))</f>
        <v/>
      </c>
      <c r="H53" s="5">
        <f>INDEX('4_Resumo'!$D$5:$D$11,MATCH(F53,'4_Resumo'!$B$5:$B$11,0))</f>
        <v/>
      </c>
      <c r="I53" s="5" t="inlineStr">
        <is>
          <t>—</t>
        </is>
      </c>
      <c r="J53" s="37" t="inlineStr">
        <is>
          <t>2</t>
        </is>
      </c>
      <c r="K53" s="5" t="inlineStr">
        <is>
          <t>Catabólito de clorofila — esperado em tecido verde (folha ou vagem verde).</t>
        </is>
      </c>
      <c r="L53" s="37" t="inlineStr">
        <is>
          <t>—</t>
        </is>
      </c>
    </row>
    <row r="54">
      <c r="A54" s="37" t="n">
        <v>53</v>
      </c>
      <c r="B54" s="5" t="inlineStr">
        <is>
          <t>Pyropheophytin a</t>
        </is>
      </c>
      <c r="C54" s="5" t="inlineStr">
        <is>
          <t>Tetrapirrol (catabólito de clorofila)</t>
        </is>
      </c>
      <c r="D54" s="5">
        <f>COUNTIF('2_Limpo'!$C$2:$C$149,B54)</f>
        <v/>
      </c>
      <c r="E54" s="5" t="inlineStr">
        <is>
          <t>108</t>
        </is>
      </c>
      <c r="F54" s="37" t="inlineStr">
        <is>
          <t>C</t>
        </is>
      </c>
      <c r="G54" s="5">
        <f>INDEX('4_Resumo'!$C$5:$C$11,MATCH(F54,'4_Resumo'!$B$5:$B$11,0))</f>
        <v/>
      </c>
      <c r="H54" s="5">
        <f>INDEX('4_Resumo'!$D$5:$D$11,MATCH(F54,'4_Resumo'!$B$5:$B$11,0))</f>
        <v/>
      </c>
      <c r="I54" s="5" t="inlineStr">
        <is>
          <t>—</t>
        </is>
      </c>
      <c r="J54" s="37" t="inlineStr">
        <is>
          <t>2</t>
        </is>
      </c>
      <c r="K54" s="5" t="inlineStr">
        <is>
          <t>Derivado de clorofila; também se forma por aquecimento ou estocagem do extrato.</t>
        </is>
      </c>
      <c r="L54" s="37" t="inlineStr">
        <is>
          <t>—</t>
        </is>
      </c>
    </row>
    <row r="55">
      <c r="A55" s="37" t="n">
        <v>54</v>
      </c>
      <c r="B55" s="5" t="inlineStr">
        <is>
          <t>2-Hydroxy-4,6-dimethoxyacetophenone (xanthoxylin)</t>
        </is>
      </c>
      <c r="C55" s="5" t="inlineStr">
        <is>
          <t>Acetofenona</t>
        </is>
      </c>
      <c r="D55" s="5">
        <f>COUNTIF('2_Limpo'!$C$2:$C$149,B55)</f>
        <v/>
      </c>
      <c r="E55" s="5" t="inlineStr">
        <is>
          <t>9</t>
        </is>
      </c>
      <c r="F55" s="37" t="inlineStr">
        <is>
          <t>D</t>
        </is>
      </c>
      <c r="G55" s="5">
        <f>INDEX('4_Resumo'!$C$5:$C$11,MATCH(F55,'4_Resumo'!$B$5:$B$11,0))</f>
        <v/>
      </c>
      <c r="H55" s="5">
        <f>INDEX('4_Resumo'!$D$5:$D$11,MATCH(F55,'4_Resumo'!$B$5:$B$11,0))</f>
        <v/>
      </c>
      <c r="I55" s="5" t="inlineStr">
        <is>
          <t>—</t>
        </is>
      </c>
      <c r="J55" s="37" t="inlineStr">
        <is>
          <t>2</t>
        </is>
      </c>
      <c r="K55" s="5" t="inlineStr">
        <is>
          <t>Acetofenona natural (Rutaceae e outras); sem registro em Orchidaceae.</t>
        </is>
      </c>
      <c r="L55" s="37" t="inlineStr">
        <is>
          <t>—</t>
        </is>
      </c>
    </row>
    <row r="56">
      <c r="A56" s="37" t="n">
        <v>55</v>
      </c>
      <c r="B56" s="5" t="inlineStr">
        <is>
          <t>Syringaldehyde</t>
        </is>
      </c>
      <c r="C56" s="5" t="inlineStr">
        <is>
          <t>Aldeído fenólico</t>
        </is>
      </c>
      <c r="D56" s="5">
        <f>COUNTIF('2_Limpo'!$C$2:$C$149,B56)</f>
        <v/>
      </c>
      <c r="E56" s="5" t="inlineStr">
        <is>
          <t>85, 138</t>
        </is>
      </c>
      <c r="F56" s="37" t="inlineStr">
        <is>
          <t>D</t>
        </is>
      </c>
      <c r="G56" s="5">
        <f>INDEX('4_Resumo'!$C$5:$C$11,MATCH(F56,'4_Resumo'!$B$5:$B$11,0))</f>
        <v/>
      </c>
      <c r="H56" s="5">
        <f>INDEX('4_Resumo'!$D$5:$D$11,MATCH(F56,'4_Resumo'!$B$5:$B$11,0))</f>
        <v/>
      </c>
      <c r="I56" s="5" t="inlineStr">
        <is>
          <t>—</t>
        </is>
      </c>
      <c r="J56" s="37" t="inlineStr">
        <is>
          <t>2</t>
        </is>
      </c>
      <c r="K56" s="5" t="inlineStr">
        <is>
          <t>Não listado em R1, mas a rota siringílica está ativa em V. planifolia (ácido sinápico; sinapaldeído nas vagens). Plausível.</t>
        </is>
      </c>
      <c r="L56" s="37" t="inlineStr">
        <is>
          <t>R1; R4</t>
        </is>
      </c>
    </row>
    <row r="57">
      <c r="A57" s="37" t="n">
        <v>56</v>
      </c>
      <c r="B57" s="5" t="inlineStr">
        <is>
          <t>1,2,3,4-Tetrahydroisoquinoline-3-carboxylic acid (Tic)</t>
        </is>
      </c>
      <c r="C57" s="5" t="inlineStr">
        <is>
          <t>Aminoácido não proteinogênico</t>
        </is>
      </c>
      <c r="D57" s="5">
        <f>COUNTIF('2_Limpo'!$C$2:$C$149,B57)</f>
        <v/>
      </c>
      <c r="E57" s="5" t="inlineStr">
        <is>
          <t>1</t>
        </is>
      </c>
      <c r="F57" s="37" t="inlineStr">
        <is>
          <t>D</t>
        </is>
      </c>
      <c r="G57" s="5">
        <f>INDEX('4_Resumo'!$C$5:$C$11,MATCH(F57,'4_Resumo'!$B$5:$B$11,0))</f>
        <v/>
      </c>
      <c r="H57" s="5">
        <f>INDEX('4_Resumo'!$D$5:$D$11,MATCH(F57,'4_Resumo'!$B$5:$B$11,0))</f>
        <v/>
      </c>
      <c r="I57" s="5" t="inlineStr">
        <is>
          <t>—</t>
        </is>
      </c>
      <c r="J57" s="37" t="inlineStr">
        <is>
          <t>2</t>
        </is>
      </c>
      <c r="K57" s="5" t="inlineStr">
        <is>
          <t>Pode se formar de Phe + formaldeído (Pictet–Spengler), inclusive como artefato. Sem registro em Orchidaceae.</t>
        </is>
      </c>
      <c r="L57" s="37" t="inlineStr">
        <is>
          <t>—</t>
        </is>
      </c>
    </row>
    <row r="58">
      <c r="A58" s="37" t="n">
        <v>57</v>
      </c>
      <c r="B58" s="5" t="inlineStr">
        <is>
          <t>6-Methoxy-4-methylcoumarin</t>
        </is>
      </c>
      <c r="C58" s="5" t="inlineStr">
        <is>
          <t>Cumarina</t>
        </is>
      </c>
      <c r="D58" s="5">
        <f>COUNTIF('2_Limpo'!$C$2:$C$149,B58)</f>
        <v/>
      </c>
      <c r="E58" s="5" t="inlineStr">
        <is>
          <t>22</t>
        </is>
      </c>
      <c r="F58" s="37" t="inlineStr">
        <is>
          <t>D</t>
        </is>
      </c>
      <c r="G58" s="5">
        <f>INDEX('4_Resumo'!$C$5:$C$11,MATCH(F58,'4_Resumo'!$B$5:$B$11,0))</f>
        <v/>
      </c>
      <c r="H58" s="5">
        <f>INDEX('4_Resumo'!$D$5:$D$11,MATCH(F58,'4_Resumo'!$B$5:$B$11,0))</f>
        <v/>
      </c>
      <c r="I58" s="5" t="inlineStr">
        <is>
          <t>—</t>
        </is>
      </c>
      <c r="J58" s="37" t="inlineStr">
        <is>
          <t>2</t>
        </is>
      </c>
      <c r="K58" s="5" t="inlineStr">
        <is>
          <t>Cumarinas foram anotadas em Vanilla spp.; este derivado específico é mais comum como composto de biblioteca sintética.</t>
        </is>
      </c>
      <c r="L58" s="37" t="inlineStr">
        <is>
          <t>R2</t>
        </is>
      </c>
    </row>
    <row r="59">
      <c r="A59" s="37" t="n">
        <v>58</v>
      </c>
      <c r="B59" s="5" t="inlineStr">
        <is>
          <t>Kynurenic acid</t>
        </is>
      </c>
      <c r="C59" s="5" t="inlineStr">
        <is>
          <t>Derivado de triptofano</t>
        </is>
      </c>
      <c r="D59" s="5">
        <f>COUNTIF('2_Limpo'!$C$2:$C$149,B59)</f>
        <v/>
      </c>
      <c r="E59" s="5" t="inlineStr">
        <is>
          <t>62</t>
        </is>
      </c>
      <c r="F59" s="37" t="inlineStr">
        <is>
          <t>D</t>
        </is>
      </c>
      <c r="G59" s="5">
        <f>INDEX('4_Resumo'!$C$5:$C$11,MATCH(F59,'4_Resumo'!$B$5:$B$11,0))</f>
        <v/>
      </c>
      <c r="H59" s="5">
        <f>INDEX('4_Resumo'!$D$5:$D$11,MATCH(F59,'4_Resumo'!$B$5:$B$11,0))</f>
        <v/>
      </c>
      <c r="I59" s="5" t="inlineStr">
        <is>
          <t>—</t>
        </is>
      </c>
      <c r="J59" s="37" t="inlineStr">
        <is>
          <t>2</t>
        </is>
      </c>
      <c r="K59" s="5" t="inlineStr">
        <is>
          <t>Ocorre em várias plantas; não relatado em V. planifolia (R1).</t>
        </is>
      </c>
      <c r="L59" s="37" t="inlineStr">
        <is>
          <t>R1</t>
        </is>
      </c>
    </row>
    <row r="60">
      <c r="A60" s="37" t="n">
        <v>59</v>
      </c>
      <c r="B60" s="5" t="inlineStr">
        <is>
          <t>cyclo(L-Val-L-Pro)</t>
        </is>
      </c>
      <c r="C60" s="5" t="inlineStr">
        <is>
          <t>Dipeptídeo cíclico (DKP)</t>
        </is>
      </c>
      <c r="D60" s="5">
        <f>COUNTIF('2_Limpo'!$C$2:$C$149,B60)</f>
        <v/>
      </c>
      <c r="E60" s="5" t="inlineStr">
        <is>
          <t>37</t>
        </is>
      </c>
      <c r="F60" s="37" t="inlineStr">
        <is>
          <t>D</t>
        </is>
      </c>
      <c r="G60" s="5">
        <f>INDEX('4_Resumo'!$C$5:$C$11,MATCH(F60,'4_Resumo'!$B$5:$B$11,0))</f>
        <v/>
      </c>
      <c r="H60" s="5">
        <f>INDEX('4_Resumo'!$D$5:$D$11,MATCH(F60,'4_Resumo'!$B$5:$B$11,0))</f>
        <v/>
      </c>
      <c r="I60" s="5" t="inlineStr">
        <is>
          <t>—</t>
        </is>
      </c>
      <c r="J60" s="37" t="inlineStr">
        <is>
          <t>2</t>
        </is>
      </c>
      <c r="K60" s="5" t="inlineStr">
        <is>
          <t>Dicetopiperazinas surgem por ação microbiana (endófitos) ou por aquecimento/fermentação. Sem registro em Orchidaceae.</t>
        </is>
      </c>
      <c r="L60" s="37" t="inlineStr">
        <is>
          <t>R11</t>
        </is>
      </c>
    </row>
    <row r="61">
      <c r="A61" s="37" t="n">
        <v>60</v>
      </c>
      <c r="B61" s="5" t="inlineStr">
        <is>
          <t>3,4,5-Trimethoxyphenol</t>
        </is>
      </c>
      <c r="C61" s="5" t="inlineStr">
        <is>
          <t>Fenol</t>
        </is>
      </c>
      <c r="D61" s="5">
        <f>COUNTIF('2_Limpo'!$C$2:$C$149,B61)</f>
        <v/>
      </c>
      <c r="E61" s="5" t="inlineStr">
        <is>
          <t>11, 12</t>
        </is>
      </c>
      <c r="F61" s="37" t="inlineStr">
        <is>
          <t>D</t>
        </is>
      </c>
      <c r="G61" s="5">
        <f>INDEX('4_Resumo'!$C$5:$C$11,MATCH(F61,'4_Resumo'!$B$5:$B$11,0))</f>
        <v/>
      </c>
      <c r="H61" s="5">
        <f>INDEX('4_Resumo'!$D$5:$D$11,MATCH(F61,'4_Resumo'!$B$5:$B$11,0))</f>
        <v/>
      </c>
      <c r="I61" s="5" t="inlineStr">
        <is>
          <t>—</t>
        </is>
      </c>
      <c r="J61" s="37" t="inlineStr">
        <is>
          <t>2</t>
        </is>
      </c>
      <c r="K61" s="5" t="inlineStr">
        <is>
          <t>Fenol metoxilado; sem registro na família.</t>
        </is>
      </c>
      <c r="L61" s="37" t="inlineStr">
        <is>
          <t>—</t>
        </is>
      </c>
    </row>
    <row r="62">
      <c r="A62" s="37" t="n">
        <v>61</v>
      </c>
      <c r="B62" s="5" t="inlineStr">
        <is>
          <t>2',5-Dimethoxyflavone</t>
        </is>
      </c>
      <c r="C62" s="5" t="inlineStr">
        <is>
          <t>Flavonoide (flavona)</t>
        </is>
      </c>
      <c r="D62" s="5">
        <f>COUNTIF('2_Limpo'!$C$2:$C$149,B62)</f>
        <v/>
      </c>
      <c r="E62" s="5" t="inlineStr">
        <is>
          <t>8</t>
        </is>
      </c>
      <c r="F62" s="37" t="inlineStr">
        <is>
          <t>D</t>
        </is>
      </c>
      <c r="G62" s="5">
        <f>INDEX('4_Resumo'!$C$5:$C$11,MATCH(F62,'4_Resumo'!$B$5:$B$11,0))</f>
        <v/>
      </c>
      <c r="H62" s="5">
        <f>INDEX('4_Resumo'!$D$5:$D$11,MATCH(F62,'4_Resumo'!$B$5:$B$11,0))</f>
        <v/>
      </c>
      <c r="I62" s="5" t="inlineStr">
        <is>
          <t>—</t>
        </is>
      </c>
      <c r="J62" s="37" t="inlineStr">
        <is>
          <t>3</t>
        </is>
      </c>
      <c r="K62" s="5" t="inlineStr">
        <is>
          <t>Flavonas polimetoxiladas (ex.: sinensetina) foram relatadas em V. planifolia; este composto específico é de biblioteca sintética. Nível de classe.</t>
        </is>
      </c>
      <c r="L62" s="37" t="inlineStr">
        <is>
          <t>R1</t>
        </is>
      </c>
    </row>
    <row r="63">
      <c r="A63" s="37" t="n">
        <v>62</v>
      </c>
      <c r="B63" s="5" t="inlineStr">
        <is>
          <t>PC(18:0/20:3)</t>
        </is>
      </c>
      <c r="C63" s="5" t="inlineStr">
        <is>
          <t>Fosfolipídio</t>
        </is>
      </c>
      <c r="D63" s="5">
        <f>COUNTIF('2_Limpo'!$C$2:$C$149,B63)</f>
        <v/>
      </c>
      <c r="E63" s="5" t="inlineStr">
        <is>
          <t>103</t>
        </is>
      </c>
      <c r="F63" s="37" t="inlineStr">
        <is>
          <t>D</t>
        </is>
      </c>
      <c r="G63" s="5">
        <f>INDEX('4_Resumo'!$C$5:$C$11,MATCH(F63,'4_Resumo'!$B$5:$B$11,0))</f>
        <v/>
      </c>
      <c r="H63" s="5">
        <f>INDEX('4_Resumo'!$D$5:$D$11,MATCH(F63,'4_Resumo'!$B$5:$B$11,0))</f>
        <v/>
      </c>
      <c r="I63" s="5" t="inlineStr">
        <is>
          <t>PC 38:3</t>
        </is>
      </c>
      <c r="J63" s="37" t="inlineStr">
        <is>
          <t>3</t>
        </is>
      </c>
      <c r="K63" s="5" t="inlineStr">
        <is>
          <t>A classe é plausível, mas o ácido graxo 20:3 é atípico em plantas superiores. Provável erro de composição acila (mesma soma: PC 38:3).</t>
        </is>
      </c>
      <c r="L63" s="37" t="inlineStr">
        <is>
          <t>—</t>
        </is>
      </c>
    </row>
    <row r="64">
      <c r="A64" s="37" t="n">
        <v>63</v>
      </c>
      <c r="B64" s="5" t="inlineStr">
        <is>
          <t>PI(17:0/18:3)</t>
        </is>
      </c>
      <c r="C64" s="5" t="inlineStr">
        <is>
          <t>Fosfolipídio</t>
        </is>
      </c>
      <c r="D64" s="5">
        <f>COUNTIF('2_Limpo'!$C$2:$C$149,B64)</f>
        <v/>
      </c>
      <c r="E64" s="5" t="inlineStr">
        <is>
          <t>106</t>
        </is>
      </c>
      <c r="F64" s="37" t="inlineStr">
        <is>
          <t>D</t>
        </is>
      </c>
      <c r="G64" s="5">
        <f>INDEX('4_Resumo'!$C$5:$C$11,MATCH(F64,'4_Resumo'!$B$5:$B$11,0))</f>
        <v/>
      </c>
      <c r="H64" s="5">
        <f>INDEX('4_Resumo'!$D$5:$D$11,MATCH(F64,'4_Resumo'!$B$5:$B$11,0))</f>
        <v/>
      </c>
      <c r="I64" s="5" t="inlineStr">
        <is>
          <t>PI 35:3</t>
        </is>
      </c>
      <c r="J64" s="37" t="inlineStr">
        <is>
          <t>3</t>
        </is>
      </c>
      <c r="K64" s="5" t="inlineStr">
        <is>
          <t>Ácido graxo de cadeia ímpar (17:0) é incomum; provável PI 35:3 com outra distribuição.</t>
        </is>
      </c>
      <c r="L64" s="37" t="inlineStr">
        <is>
          <t>—</t>
        </is>
      </c>
    </row>
    <row r="65">
      <c r="A65" s="37" t="n">
        <v>64</v>
      </c>
      <c r="B65" s="5" t="inlineStr">
        <is>
          <t>3-Hydroxyoctadecanoic acid</t>
        </is>
      </c>
      <c r="C65" s="5" t="inlineStr">
        <is>
          <t>Hidroxiácido graxo</t>
        </is>
      </c>
      <c r="D65" s="5">
        <f>COUNTIF('2_Limpo'!$C$2:$C$149,B65)</f>
        <v/>
      </c>
      <c r="E65" s="5" t="inlineStr">
        <is>
          <t>116</t>
        </is>
      </c>
      <c r="F65" s="37" t="inlineStr">
        <is>
          <t>D</t>
        </is>
      </c>
      <c r="G65" s="5">
        <f>INDEX('4_Resumo'!$C$5:$C$11,MATCH(F65,'4_Resumo'!$B$5:$B$11,0))</f>
        <v/>
      </c>
      <c r="H65" s="5">
        <f>INDEX('4_Resumo'!$D$5:$D$11,MATCH(F65,'4_Resumo'!$B$5:$B$11,0))</f>
        <v/>
      </c>
      <c r="I65" s="5" t="inlineStr">
        <is>
          <t>—</t>
        </is>
      </c>
      <c r="J65" s="37" t="inlineStr">
        <is>
          <t>2</t>
        </is>
      </c>
      <c r="K65" s="5" t="inlineStr">
        <is>
          <t>Hidroxiácidos graxos foram anotados em Vanilla spp.; o 3-OH também é marcador de lipídio A bacteriano.</t>
        </is>
      </c>
      <c r="L65" s="37" t="inlineStr">
        <is>
          <t>R2</t>
        </is>
      </c>
    </row>
    <row r="66">
      <c r="A66" s="37" t="n">
        <v>65</v>
      </c>
      <c r="B66" s="5" t="inlineStr">
        <is>
          <t>3-Indoleacrylic acid</t>
        </is>
      </c>
      <c r="C66" s="5" t="inlineStr">
        <is>
          <t>Indol</t>
        </is>
      </c>
      <c r="D66" s="5">
        <f>COUNTIF('2_Limpo'!$C$2:$C$149,B66)</f>
        <v/>
      </c>
      <c r="E66" s="5" t="inlineStr">
        <is>
          <t>16, 56</t>
        </is>
      </c>
      <c r="F66" s="37" t="inlineStr">
        <is>
          <t>D</t>
        </is>
      </c>
      <c r="G66" s="5">
        <f>INDEX('4_Resumo'!$C$5:$C$11,MATCH(F66,'4_Resumo'!$B$5:$B$11,0))</f>
        <v/>
      </c>
      <c r="H66" s="5">
        <f>INDEX('4_Resumo'!$D$5:$D$11,MATCH(F66,'4_Resumo'!$B$5:$B$11,0))</f>
        <v/>
      </c>
      <c r="I66" s="5" t="inlineStr">
        <is>
          <t>—</t>
        </is>
      </c>
      <c r="J66" s="37" t="inlineStr">
        <is>
          <t>2</t>
        </is>
      </c>
      <c r="K66" s="5" t="inlineStr">
        <is>
          <t>Metabólito de triptofano, frequente em microrganismos; sem registro na família.</t>
        </is>
      </c>
      <c r="L66" s="37" t="inlineStr">
        <is>
          <t>—</t>
        </is>
      </c>
    </row>
    <row r="67">
      <c r="A67" s="37" t="n">
        <v>66</v>
      </c>
      <c r="B67" s="5" t="inlineStr">
        <is>
          <t>Dihydro-alpha-ionone</t>
        </is>
      </c>
      <c r="C67" s="5" t="inlineStr">
        <is>
          <t>Norisoprenoide (C13)</t>
        </is>
      </c>
      <c r="D67" s="5">
        <f>COUNTIF('2_Limpo'!$C$2:$C$149,B67)</f>
        <v/>
      </c>
      <c r="E67" s="5" t="inlineStr">
        <is>
          <t>114</t>
        </is>
      </c>
      <c r="F67" s="37" t="inlineStr">
        <is>
          <t>D</t>
        </is>
      </c>
      <c r="G67" s="5">
        <f>INDEX('4_Resumo'!$C$5:$C$11,MATCH(F67,'4_Resumo'!$B$5:$B$11,0))</f>
        <v/>
      </c>
      <c r="H67" s="5">
        <f>INDEX('4_Resumo'!$D$5:$D$11,MATCH(F67,'4_Resumo'!$B$5:$B$11,0))</f>
        <v/>
      </c>
      <c r="I67" s="5" t="inlineStr">
        <is>
          <t>—</t>
        </is>
      </c>
      <c r="J67" s="37" t="inlineStr">
        <is>
          <t>2</t>
        </is>
      </c>
      <c r="K67" s="5" t="inlineStr">
        <is>
          <t>Produto de degradação de carotenoides, comum em aromas vegetais; sem registro confirmado na família.</t>
        </is>
      </c>
      <c r="L67" s="37" t="inlineStr">
        <is>
          <t>—</t>
        </is>
      </c>
    </row>
    <row r="68">
      <c r="A68" s="37" t="n">
        <v>67</v>
      </c>
      <c r="B68" s="5" t="inlineStr">
        <is>
          <t>Maltol</t>
        </is>
      </c>
      <c r="C68" s="5" t="inlineStr">
        <is>
          <t>Pirona</t>
        </is>
      </c>
      <c r="D68" s="5">
        <f>COUNTIF('2_Limpo'!$C$2:$C$149,B68)</f>
        <v/>
      </c>
      <c r="E68" s="5" t="inlineStr">
        <is>
          <t>13</t>
        </is>
      </c>
      <c r="F68" s="37" t="inlineStr">
        <is>
          <t>D</t>
        </is>
      </c>
      <c r="G68" s="5">
        <f>INDEX('4_Resumo'!$C$5:$C$11,MATCH(F68,'4_Resumo'!$B$5:$B$11,0))</f>
        <v/>
      </c>
      <c r="H68" s="5">
        <f>INDEX('4_Resumo'!$D$5:$D$11,MATCH(F68,'4_Resumo'!$B$5:$B$11,0))</f>
        <v/>
      </c>
      <c r="I68" s="5" t="inlineStr">
        <is>
          <t>—</t>
        </is>
      </c>
      <c r="J68" s="37" t="inlineStr">
        <is>
          <t>2</t>
        </is>
      </c>
      <c r="K68" s="5" t="inlineStr">
        <is>
          <t>Formado em aquecimento/processamento e presente em várias plantas; sem registro em Vanilla nas fontes consultadas.</t>
        </is>
      </c>
      <c r="L68" s="37" t="inlineStr">
        <is>
          <t>—</t>
        </is>
      </c>
    </row>
    <row r="69">
      <c r="A69" s="37" t="n">
        <v>68</v>
      </c>
      <c r="B69" s="5" t="inlineStr">
        <is>
          <t>Dimethylmalonic acid</t>
        </is>
      </c>
      <c r="C69" s="5" t="inlineStr">
        <is>
          <t>Ácido dicarboxílico</t>
        </is>
      </c>
      <c r="D69" s="5">
        <f>COUNTIF('2_Limpo'!$C$2:$C$149,B69)</f>
        <v/>
      </c>
      <c r="E69" s="5" t="inlineStr">
        <is>
          <t>53</t>
        </is>
      </c>
      <c r="F69" s="37" t="inlineStr">
        <is>
          <t>D</t>
        </is>
      </c>
      <c r="G69" s="5">
        <f>INDEX('4_Resumo'!$C$5:$C$11,MATCH(F69,'4_Resumo'!$B$5:$B$11,0))</f>
        <v/>
      </c>
      <c r="H69" s="5">
        <f>INDEX('4_Resumo'!$D$5:$D$11,MATCH(F69,'4_Resumo'!$B$5:$B$11,0))</f>
        <v/>
      </c>
      <c r="I69" s="5" t="inlineStr">
        <is>
          <t>—</t>
        </is>
      </c>
      <c r="J69" s="37" t="inlineStr">
        <is>
          <t>2</t>
        </is>
      </c>
      <c r="K69" s="5" t="inlineStr">
        <is>
          <t>Baixa especificidade; sem registro na família.</t>
        </is>
      </c>
      <c r="L69" s="37" t="inlineStr">
        <is>
          <t>—</t>
        </is>
      </c>
    </row>
    <row r="70">
      <c r="A70" s="37" t="n">
        <v>69</v>
      </c>
      <c r="B70" s="5" t="inlineStr">
        <is>
          <t>Syringic acid</t>
        </is>
      </c>
      <c r="C70" s="5" t="inlineStr">
        <is>
          <t>Ácido hidroxibenzoico</t>
        </is>
      </c>
      <c r="D70" s="5">
        <f>COUNTIF('2_Limpo'!$C$2:$C$149,B70)</f>
        <v/>
      </c>
      <c r="E70" s="5" t="inlineStr">
        <is>
          <t>139</t>
        </is>
      </c>
      <c r="F70" s="37" t="inlineStr">
        <is>
          <t>D</t>
        </is>
      </c>
      <c r="G70" s="5">
        <f>INDEX('4_Resumo'!$C$5:$C$11,MATCH(F70,'4_Resumo'!$B$5:$B$11,0))</f>
        <v/>
      </c>
      <c r="H70" s="5">
        <f>INDEX('4_Resumo'!$D$5:$D$11,MATCH(F70,'4_Resumo'!$B$5:$B$11,0))</f>
        <v/>
      </c>
      <c r="I70" s="5" t="inlineStr">
        <is>
          <t>—</t>
        </is>
      </c>
      <c r="J70" s="37" t="inlineStr">
        <is>
          <t>2</t>
        </is>
      </c>
      <c r="K70" s="5" t="inlineStr">
        <is>
          <t>Mesma justificativa do siringaldeído (análogo siringílico do ácido vanílico, que é relatado).</t>
        </is>
      </c>
      <c r="L70" s="37" t="inlineStr">
        <is>
          <t>R1; R4</t>
        </is>
      </c>
    </row>
    <row r="71">
      <c r="A71" s="37" t="n">
        <v>70</v>
      </c>
      <c r="B71" s="5" t="inlineStr">
        <is>
          <t>3,4,5-Trimethoxycinnamic acid</t>
        </is>
      </c>
      <c r="C71" s="5" t="inlineStr">
        <is>
          <t>Ácido hidroxicinâmico</t>
        </is>
      </c>
      <c r="D71" s="5">
        <f>COUNTIF('2_Limpo'!$C$2:$C$149,B71)</f>
        <v/>
      </c>
      <c r="E71" s="5" t="inlineStr">
        <is>
          <t>115</t>
        </is>
      </c>
      <c r="F71" s="37" t="inlineStr">
        <is>
          <t>D</t>
        </is>
      </c>
      <c r="G71" s="5">
        <f>INDEX('4_Resumo'!$C$5:$C$11,MATCH(F71,'4_Resumo'!$B$5:$B$11,0))</f>
        <v/>
      </c>
      <c r="H71" s="5">
        <f>INDEX('4_Resumo'!$D$5:$D$11,MATCH(F71,'4_Resumo'!$B$5:$B$11,0))</f>
        <v/>
      </c>
      <c r="I71" s="5" t="inlineStr">
        <is>
          <t>—</t>
        </is>
      </c>
      <c r="J71" s="37" t="inlineStr">
        <is>
          <t>2</t>
        </is>
      </c>
      <c r="K71" s="5" t="inlineStr">
        <is>
          <t>Derivado metoxilado da rota fenilpropanoide; sem registro na família.</t>
        </is>
      </c>
      <c r="L71" s="37" t="inlineStr">
        <is>
          <t>—</t>
        </is>
      </c>
    </row>
    <row r="72">
      <c r="A72" s="37" t="n">
        <v>71</v>
      </c>
      <c r="B72" s="5" t="inlineStr">
        <is>
          <t>Isovaleric acid</t>
        </is>
      </c>
      <c r="C72" s="5" t="inlineStr">
        <is>
          <t>Ácido orgânico de cadeia curta</t>
        </is>
      </c>
      <c r="D72" s="5">
        <f>COUNTIF('2_Limpo'!$C$2:$C$149,B72)</f>
        <v/>
      </c>
      <c r="E72" s="5" t="inlineStr">
        <is>
          <t>60</t>
        </is>
      </c>
      <c r="F72" s="37" t="inlineStr">
        <is>
          <t>D</t>
        </is>
      </c>
      <c r="G72" s="5">
        <f>INDEX('4_Resumo'!$C$5:$C$11,MATCH(F72,'4_Resumo'!$B$5:$B$11,0))</f>
        <v/>
      </c>
      <c r="H72" s="5">
        <f>INDEX('4_Resumo'!$D$5:$D$11,MATCH(F72,'4_Resumo'!$B$5:$B$11,0))</f>
        <v/>
      </c>
      <c r="I72" s="5" t="inlineStr">
        <is>
          <t>—</t>
        </is>
      </c>
      <c r="J72" s="37" t="inlineStr">
        <is>
          <t>2</t>
        </is>
      </c>
      <c r="K72" s="5" t="inlineStr">
        <is>
          <t>Ácido volátil; não relatado no metaboloma de V. planifolia (R1); pode vir de atividade microbiana.</t>
        </is>
      </c>
      <c r="L72" s="37" t="inlineStr">
        <is>
          <t>R1</t>
        </is>
      </c>
    </row>
    <row r="73">
      <c r="A73" s="37" t="n">
        <v>72</v>
      </c>
      <c r="B73" s="5" t="inlineStr">
        <is>
          <t>Methyl (9Z,11E,13E)-octadecatrienoate</t>
        </is>
      </c>
      <c r="C73" s="5" t="inlineStr">
        <is>
          <t>Éster metílico de ácido graxo</t>
        </is>
      </c>
      <c r="D73" s="5">
        <f>COUNTIF('2_Limpo'!$C$2:$C$149,B73)</f>
        <v/>
      </c>
      <c r="E73" s="5" t="inlineStr">
        <is>
          <t>120</t>
        </is>
      </c>
      <c r="F73" s="37" t="inlineStr">
        <is>
          <t>D</t>
        </is>
      </c>
      <c r="G73" s="5">
        <f>INDEX('4_Resumo'!$C$5:$C$11,MATCH(F73,'4_Resumo'!$B$5:$B$11,0))</f>
        <v/>
      </c>
      <c r="H73" s="5">
        <f>INDEX('4_Resumo'!$D$5:$D$11,MATCH(F73,'4_Resumo'!$B$5:$B$11,0))</f>
        <v/>
      </c>
      <c r="I73" s="5" t="inlineStr">
        <is>
          <t>—</t>
        </is>
      </c>
      <c r="J73" s="37" t="inlineStr">
        <is>
          <t>2</t>
        </is>
      </c>
      <c r="K73" s="5" t="inlineStr">
        <is>
          <t>Pode ser artefato de metilação durante extração com metanol.</t>
        </is>
      </c>
      <c r="L73" s="37" t="inlineStr">
        <is>
          <t>—</t>
        </is>
      </c>
    </row>
    <row r="74">
      <c r="A74" s="37" t="n">
        <v>73</v>
      </c>
      <c r="B74" s="5" t="inlineStr">
        <is>
          <t>Harmane</t>
        </is>
      </c>
      <c r="C74" s="5" t="inlineStr">
        <is>
          <t>β-carbolina</t>
        </is>
      </c>
      <c r="D74" s="5">
        <f>COUNTIF('2_Limpo'!$C$2:$C$149,B74)</f>
        <v/>
      </c>
      <c r="E74" s="5" t="inlineStr">
        <is>
          <t>52, 128</t>
        </is>
      </c>
      <c r="F74" s="37" t="inlineStr">
        <is>
          <t>D</t>
        </is>
      </c>
      <c r="G74" s="5">
        <f>INDEX('4_Resumo'!$C$5:$C$11,MATCH(F74,'4_Resumo'!$B$5:$B$11,0))</f>
        <v/>
      </c>
      <c r="H74" s="5">
        <f>INDEX('4_Resumo'!$D$5:$D$11,MATCH(F74,'4_Resumo'!$B$5:$B$11,0))</f>
        <v/>
      </c>
      <c r="I74" s="5" t="inlineStr">
        <is>
          <t>—</t>
        </is>
      </c>
      <c r="J74" s="37" t="inlineStr">
        <is>
          <t>2</t>
        </is>
      </c>
      <c r="K74" s="5" t="inlineStr">
        <is>
          <t>Formada a partir de triptofano, também por aquecimento; ampla ocorrência em alimentos. Sem registro em Orchidaceae.</t>
        </is>
      </c>
      <c r="L74" s="37" t="inlineStr">
        <is>
          <t>R10</t>
        </is>
      </c>
    </row>
    <row r="75">
      <c r="A75" s="37" t="n">
        <v>74</v>
      </c>
      <c r="B75" s="5" t="inlineStr">
        <is>
          <t>Norharman</t>
        </is>
      </c>
      <c r="C75" s="5" t="inlineStr">
        <is>
          <t>β-carbolina</t>
        </is>
      </c>
      <c r="D75" s="5">
        <f>COUNTIF('2_Limpo'!$C$2:$C$149,B75)</f>
        <v/>
      </c>
      <c r="E75" s="5" t="inlineStr">
        <is>
          <t>94</t>
        </is>
      </c>
      <c r="F75" s="37" t="inlineStr">
        <is>
          <t>D</t>
        </is>
      </c>
      <c r="G75" s="5">
        <f>INDEX('4_Resumo'!$C$5:$C$11,MATCH(F75,'4_Resumo'!$B$5:$B$11,0))</f>
        <v/>
      </c>
      <c r="H75" s="5">
        <f>INDEX('4_Resumo'!$D$5:$D$11,MATCH(F75,'4_Resumo'!$B$5:$B$11,0))</f>
        <v/>
      </c>
      <c r="I75" s="5" t="inlineStr">
        <is>
          <t>—</t>
        </is>
      </c>
      <c r="J75" s="37" t="inlineStr">
        <is>
          <t>2</t>
        </is>
      </c>
      <c r="K75" s="5" t="inlineStr">
        <is>
          <t>Mesma justificativa do harmano.</t>
        </is>
      </c>
      <c r="L75" s="37" t="inlineStr">
        <is>
          <t>R10</t>
        </is>
      </c>
    </row>
    <row r="76">
      <c r="A76" s="37" t="n">
        <v>75</v>
      </c>
      <c r="B76" s="5" t="inlineStr">
        <is>
          <t>Berbamine</t>
        </is>
      </c>
      <c r="C76" s="5" t="inlineStr">
        <is>
          <t>Alcaloide bisbenzilisoquinolínico</t>
        </is>
      </c>
      <c r="D76" s="5">
        <f>COUNTIF('2_Limpo'!$C$2:$C$149,B76)</f>
        <v/>
      </c>
      <c r="E76" s="5" t="inlineStr">
        <is>
          <t>32</t>
        </is>
      </c>
      <c r="F76" s="37" t="inlineStr">
        <is>
          <t>E</t>
        </is>
      </c>
      <c r="G76" s="5">
        <f>INDEX('4_Resumo'!$C$5:$C$11,MATCH(F76,'4_Resumo'!$B$5:$B$11,0))</f>
        <v/>
      </c>
      <c r="H76" s="5">
        <f>INDEX('4_Resumo'!$D$5:$D$11,MATCH(F76,'4_Resumo'!$B$5:$B$11,0))</f>
        <v/>
      </c>
      <c r="I76" s="5" t="inlineStr">
        <is>
          <t>—</t>
        </is>
      </c>
      <c r="J76" s="37" t="inlineStr">
        <is>
          <t>2</t>
        </is>
      </c>
      <c r="K76" s="5" t="inlineStr">
        <is>
          <t>Típico de Berberidaceae/Menispermaceae; sem registro em Orchidaceae.</t>
        </is>
      </c>
      <c r="L76" s="37" t="inlineStr">
        <is>
          <t>—</t>
        </is>
      </c>
    </row>
    <row r="77">
      <c r="A77" s="37" t="n">
        <v>76</v>
      </c>
      <c r="B77" s="5" t="inlineStr">
        <is>
          <t>allo-Isoleucine</t>
        </is>
      </c>
      <c r="C77" s="5" t="inlineStr">
        <is>
          <t>Aminoácido</t>
        </is>
      </c>
      <c r="D77" s="5">
        <f>COUNTIF('2_Limpo'!$C$2:$C$149,B77)</f>
        <v/>
      </c>
      <c r="E77" s="5" t="inlineStr">
        <is>
          <t>27</t>
        </is>
      </c>
      <c r="F77" s="37" t="inlineStr">
        <is>
          <t>E</t>
        </is>
      </c>
      <c r="G77" s="5">
        <f>INDEX('4_Resumo'!$C$5:$C$11,MATCH(F77,'4_Resumo'!$B$5:$B$11,0))</f>
        <v/>
      </c>
      <c r="H77" s="5">
        <f>INDEX('4_Resumo'!$D$5:$D$11,MATCH(F77,'4_Resumo'!$B$5:$B$11,0))</f>
        <v/>
      </c>
      <c r="I77" s="5" t="inlineStr">
        <is>
          <t>C6H13NO2 (Leu/Ile/allo-Ile/Nle) — indistinguíveis por MS/MS</t>
        </is>
      </c>
      <c r="J77" s="37" t="inlineStr">
        <is>
          <t>3</t>
        </is>
      </c>
      <c r="K77" s="5" t="inlineStr">
        <is>
          <t>Diastereoisômero raro, não proteinogênico; o espectro casa por isomeria com Leu/Ile. Reanotar como 'Leu/Ile'.</t>
        </is>
      </c>
      <c r="L77" s="37" t="inlineStr">
        <is>
          <t>R1</t>
        </is>
      </c>
    </row>
    <row r="78">
      <c r="A78" s="37" t="n">
        <v>77</v>
      </c>
      <c r="B78" s="5" t="inlineStr">
        <is>
          <t>Norleucine</t>
        </is>
      </c>
      <c r="C78" s="5" t="inlineStr">
        <is>
          <t>Aminoácido</t>
        </is>
      </c>
      <c r="D78" s="5">
        <f>COUNTIF('2_Limpo'!$C$2:$C$149,B78)</f>
        <v/>
      </c>
      <c r="E78" s="5" t="inlineStr">
        <is>
          <t>72, 95, 96, 97, 98, 99, 100</t>
        </is>
      </c>
      <c r="F78" s="37" t="inlineStr">
        <is>
          <t>E</t>
        </is>
      </c>
      <c r="G78" s="5">
        <f>INDEX('4_Resumo'!$C$5:$C$11,MATCH(F78,'4_Resumo'!$B$5:$B$11,0))</f>
        <v/>
      </c>
      <c r="H78" s="5">
        <f>INDEX('4_Resumo'!$D$5:$D$11,MATCH(F78,'4_Resumo'!$B$5:$B$11,0))</f>
        <v/>
      </c>
      <c r="I78" s="5" t="inlineStr">
        <is>
          <t>C6H13NO2 (Leu/Ile/allo-Ile/Nle) — indistinguíveis por MS/MS</t>
        </is>
      </c>
      <c r="J78" s="37" t="inlineStr">
        <is>
          <t>3</t>
        </is>
      </c>
      <c r="K78" s="5" t="inlineStr">
        <is>
          <t>Aminoácido não proteinogênico, raro em plantas; match por isomeria com Leu/Ile (8 linhas). Reanotar como 'Leu/Ile'.</t>
        </is>
      </c>
      <c r="L78" s="37" t="inlineStr">
        <is>
          <t>R1</t>
        </is>
      </c>
    </row>
    <row r="79">
      <c r="A79" s="37" t="n">
        <v>78</v>
      </c>
      <c r="B79" s="5" t="inlineStr">
        <is>
          <t>Abrine (N-methyl-L-tryptophan)</t>
        </is>
      </c>
      <c r="C79" s="5" t="inlineStr">
        <is>
          <t>Aminoácido indólico</t>
        </is>
      </c>
      <c r="D79" s="5">
        <f>COUNTIF('2_Limpo'!$C$2:$C$149,B79)</f>
        <v/>
      </c>
      <c r="E79" s="5" t="inlineStr">
        <is>
          <t>121</t>
        </is>
      </c>
      <c r="F79" s="37" t="inlineStr">
        <is>
          <t>E</t>
        </is>
      </c>
      <c r="G79" s="5">
        <f>INDEX('4_Resumo'!$C$5:$C$11,MATCH(F79,'4_Resumo'!$B$5:$B$11,0))</f>
        <v/>
      </c>
      <c r="H79" s="5">
        <f>INDEX('4_Resumo'!$D$5:$D$11,MATCH(F79,'4_Resumo'!$B$5:$B$11,0))</f>
        <v/>
      </c>
      <c r="I79" s="5" t="inlineStr">
        <is>
          <t>—</t>
        </is>
      </c>
      <c r="J79" s="37" t="inlineStr">
        <is>
          <t>2</t>
        </is>
      </c>
      <c r="K79" s="5" t="inlineStr">
        <is>
          <t>Característico de Abrus (Fabaceae).</t>
        </is>
      </c>
      <c r="L79" s="37" t="inlineStr">
        <is>
          <t>—</t>
        </is>
      </c>
    </row>
    <row r="80">
      <c r="A80" s="37" t="n">
        <v>79</v>
      </c>
      <c r="B80" s="5" t="inlineStr">
        <is>
          <t>Psicose (alulose)</t>
        </is>
      </c>
      <c r="C80" s="5" t="inlineStr">
        <is>
          <t>Açúcar (hexose)</t>
        </is>
      </c>
      <c r="D80" s="5">
        <f>COUNTIF('2_Limpo'!$C$2:$C$149,B80)</f>
        <v/>
      </c>
      <c r="E80" s="5" t="inlineStr">
        <is>
          <t>107</t>
        </is>
      </c>
      <c r="F80" s="37" t="inlineStr">
        <is>
          <t>E</t>
        </is>
      </c>
      <c r="G80" s="5">
        <f>INDEX('4_Resumo'!$C$5:$C$11,MATCH(F80,'4_Resumo'!$B$5:$B$11,0))</f>
        <v/>
      </c>
      <c r="H80" s="5">
        <f>INDEX('4_Resumo'!$D$5:$D$11,MATCH(F80,'4_Resumo'!$B$5:$B$11,0))</f>
        <v/>
      </c>
      <c r="I80" s="5" t="inlineStr">
        <is>
          <t>C6H12O6 (hexoses)</t>
        </is>
      </c>
      <c r="J80" s="37" t="inlineStr">
        <is>
          <t>3</t>
        </is>
      </c>
      <c r="K80" s="5" t="inlineStr">
        <is>
          <t>Açúcar raro; o match é por isomeria. Provavelmente glicose/frutose (abundantes em V. planifolia; a glicose também vem da hidrólise da glucovanilina). Reanotar como 'hexose'.</t>
        </is>
      </c>
      <c r="L80" s="37" t="inlineStr">
        <is>
          <t>R1</t>
        </is>
      </c>
    </row>
    <row r="81">
      <c r="A81" s="37" t="n">
        <v>80</v>
      </c>
      <c r="B81" s="5" t="inlineStr">
        <is>
          <t>Sorbose</t>
        </is>
      </c>
      <c r="C81" s="5" t="inlineStr">
        <is>
          <t>Açúcar (hexose)</t>
        </is>
      </c>
      <c r="D81" s="5">
        <f>COUNTIF('2_Limpo'!$C$2:$C$149,B81)</f>
        <v/>
      </c>
      <c r="E81" s="5" t="inlineStr">
        <is>
          <t>110</t>
        </is>
      </c>
      <c r="F81" s="37" t="inlineStr">
        <is>
          <t>E</t>
        </is>
      </c>
      <c r="G81" s="5">
        <f>INDEX('4_Resumo'!$C$5:$C$11,MATCH(F81,'4_Resumo'!$B$5:$B$11,0))</f>
        <v/>
      </c>
      <c r="H81" s="5">
        <f>INDEX('4_Resumo'!$D$5:$D$11,MATCH(F81,'4_Resumo'!$B$5:$B$11,0))</f>
        <v/>
      </c>
      <c r="I81" s="5" t="inlineStr">
        <is>
          <t>C6H12O6 (hexoses)</t>
        </is>
      </c>
      <c r="J81" s="37" t="inlineStr">
        <is>
          <t>3</t>
        </is>
      </c>
      <c r="K81" s="5" t="inlineStr">
        <is>
          <t>Açúcar raro; mesma situação da psicose. Reanotar como 'hexose'.</t>
        </is>
      </c>
      <c r="L81" s="37" t="inlineStr">
        <is>
          <t>R1</t>
        </is>
      </c>
    </row>
    <row r="82">
      <c r="A82" s="37" t="n">
        <v>81</v>
      </c>
      <c r="B82" s="5" t="inlineStr">
        <is>
          <t>Gitoxigenin diacetate</t>
        </is>
      </c>
      <c r="C82" s="5" t="inlineStr">
        <is>
          <t>Cardenolídeo (esteroide)</t>
        </is>
      </c>
      <c r="D82" s="5">
        <f>COUNTIF('2_Limpo'!$C$2:$C$149,B82)</f>
        <v/>
      </c>
      <c r="E82" s="5" t="inlineStr">
        <is>
          <t>44</t>
        </is>
      </c>
      <c r="F82" s="37" t="inlineStr">
        <is>
          <t>E</t>
        </is>
      </c>
      <c r="G82" s="5">
        <f>INDEX('4_Resumo'!$C$5:$C$11,MATCH(F82,'4_Resumo'!$B$5:$B$11,0))</f>
        <v/>
      </c>
      <c r="H82" s="5">
        <f>INDEX('4_Resumo'!$D$5:$D$11,MATCH(F82,'4_Resumo'!$B$5:$B$11,0))</f>
        <v/>
      </c>
      <c r="I82" s="5" t="inlineStr">
        <is>
          <t>—</t>
        </is>
      </c>
      <c r="J82" s="37" t="inlineStr">
        <is>
          <t>2</t>
        </is>
      </c>
      <c r="K82" s="5" t="inlineStr">
        <is>
          <t>Cardenolídeo típico de Digitalis (Plantaginaceae); sem registro em Orchidaceae.</t>
        </is>
      </c>
      <c r="L82" s="37" t="inlineStr">
        <is>
          <t>—</t>
        </is>
      </c>
    </row>
    <row r="83">
      <c r="A83" s="37" t="n">
        <v>82</v>
      </c>
      <c r="B83" s="5" t="inlineStr">
        <is>
          <t>Diarylheptanoid glucoside (1,7-bis(4-hydroxyphenyl)heptan-3-one 5-O-glucoside)</t>
        </is>
      </c>
      <c r="C83" s="5" t="inlineStr">
        <is>
          <t>Diarilheptanoide glicosilado</t>
        </is>
      </c>
      <c r="D83" s="5">
        <f>COUNTIF('2_Limpo'!$C$2:$C$149,B83)</f>
        <v/>
      </c>
      <c r="E83" s="5" t="inlineStr">
        <is>
          <t>4</t>
        </is>
      </c>
      <c r="F83" s="37" t="inlineStr">
        <is>
          <t>E</t>
        </is>
      </c>
      <c r="G83" s="5">
        <f>INDEX('4_Resumo'!$C$5:$C$11,MATCH(F83,'4_Resumo'!$B$5:$B$11,0))</f>
        <v/>
      </c>
      <c r="H83" s="5">
        <f>INDEX('4_Resumo'!$D$5:$D$11,MATCH(F83,'4_Resumo'!$B$5:$B$11,0))</f>
        <v/>
      </c>
      <c r="I83" s="5" t="inlineStr">
        <is>
          <t>—</t>
        </is>
      </c>
      <c r="J83" s="37" t="inlineStr">
        <is>
          <t>2</t>
        </is>
      </c>
      <c r="K83" s="5" t="inlineStr">
        <is>
          <t>Típico de Zingiberaceae e Betulaceae; sem registro em Orchidaceae.</t>
        </is>
      </c>
      <c r="L83" s="37" t="inlineStr">
        <is>
          <t>—</t>
        </is>
      </c>
    </row>
    <row r="84">
      <c r="A84" s="37" t="n">
        <v>83</v>
      </c>
      <c r="B84" s="5" t="inlineStr">
        <is>
          <t>PE(20:3/22:6)</t>
        </is>
      </c>
      <c r="C84" s="5" t="inlineStr">
        <is>
          <t>Fosfolipídio</t>
        </is>
      </c>
      <c r="D84" s="5">
        <f>COUNTIF('2_Limpo'!$C$2:$C$149,B84)</f>
        <v/>
      </c>
      <c r="E84" s="5" t="inlineStr">
        <is>
          <t>104</t>
        </is>
      </c>
      <c r="F84" s="37" t="inlineStr">
        <is>
          <t>E</t>
        </is>
      </c>
      <c r="G84" s="5">
        <f>INDEX('4_Resumo'!$C$5:$C$11,MATCH(F84,'4_Resumo'!$B$5:$B$11,0))</f>
        <v/>
      </c>
      <c r="H84" s="5">
        <f>INDEX('4_Resumo'!$D$5:$D$11,MATCH(F84,'4_Resumo'!$B$5:$B$11,0))</f>
        <v/>
      </c>
      <c r="I84" s="5" t="inlineStr">
        <is>
          <t>PE 42:9</t>
        </is>
      </c>
      <c r="J84" s="37" t="inlineStr">
        <is>
          <t>3</t>
        </is>
      </c>
      <c r="K84" s="5" t="inlineStr">
        <is>
          <t>O 22:6 (DHA) é de origem animal/algal, ausente em plantas superiores.</t>
        </is>
      </c>
      <c r="L84" s="37" t="inlineStr">
        <is>
          <t>—</t>
        </is>
      </c>
    </row>
    <row r="85">
      <c r="A85" s="37" t="n">
        <v>84</v>
      </c>
      <c r="B85" s="5" t="inlineStr">
        <is>
          <t>PE(P-16:0/22:4)</t>
        </is>
      </c>
      <c r="C85" s="5" t="inlineStr">
        <is>
          <t>Fosfolipídio (plasmalogênio)</t>
        </is>
      </c>
      <c r="D85" s="5">
        <f>COUNTIF('2_Limpo'!$C$2:$C$149,B85)</f>
        <v/>
      </c>
      <c r="E85" s="5" t="inlineStr">
        <is>
          <t>105</t>
        </is>
      </c>
      <c r="F85" s="37" t="inlineStr">
        <is>
          <t>E</t>
        </is>
      </c>
      <c r="G85" s="5">
        <f>INDEX('4_Resumo'!$C$5:$C$11,MATCH(F85,'4_Resumo'!$B$5:$B$11,0))</f>
        <v/>
      </c>
      <c r="H85" s="5">
        <f>INDEX('4_Resumo'!$D$5:$D$11,MATCH(F85,'4_Resumo'!$B$5:$B$11,0))</f>
        <v/>
      </c>
      <c r="I85" s="5" t="inlineStr">
        <is>
          <t>PE O-38:5</t>
        </is>
      </c>
      <c r="J85" s="37" t="inlineStr">
        <is>
          <t>3</t>
        </is>
      </c>
      <c r="K85" s="5" t="inlineStr">
        <is>
          <t>Plasmalogênios e o 22:4 são característicos de animais e bactérias anaeróbias, não de plantas.</t>
        </is>
      </c>
      <c r="L85" s="37" t="inlineStr">
        <is>
          <t>—</t>
        </is>
      </c>
    </row>
    <row r="86">
      <c r="A86" s="37" t="n">
        <v>85</v>
      </c>
      <c r="B86" s="5" t="inlineStr">
        <is>
          <t>Prenylated hydroxybenzoic acid (C22)</t>
        </is>
      </c>
      <c r="C86" s="5" t="inlineStr">
        <is>
          <t>Meroterpenoide (ácido benzoico prenilado)</t>
        </is>
      </c>
      <c r="D86" s="5">
        <f>COUNTIF('2_Limpo'!$C$2:$C$149,B86)</f>
        <v/>
      </c>
      <c r="E86" s="5" t="inlineStr">
        <is>
          <t>17</t>
        </is>
      </c>
      <c r="F86" s="37" t="inlineStr">
        <is>
          <t>E</t>
        </is>
      </c>
      <c r="G86" s="5">
        <f>INDEX('4_Resumo'!$C$5:$C$11,MATCH(F86,'4_Resumo'!$B$5:$B$11,0))</f>
        <v/>
      </c>
      <c r="H86" s="5">
        <f>INDEX('4_Resumo'!$D$5:$D$11,MATCH(F86,'4_Resumo'!$B$5:$B$11,0))</f>
        <v/>
      </c>
      <c r="I86" s="5" t="inlineStr">
        <is>
          <t>—</t>
        </is>
      </c>
      <c r="J86" s="37" t="inlineStr">
        <is>
          <t>2</t>
        </is>
      </c>
      <c r="K86" s="5" t="inlineStr">
        <is>
          <t>Comum em Piperaceae; sem registro em Orchidaceae.</t>
        </is>
      </c>
      <c r="L86" s="37" t="inlineStr">
        <is>
          <t>—</t>
        </is>
      </c>
    </row>
    <row r="87">
      <c r="A87" s="37" t="n">
        <v>86</v>
      </c>
      <c r="B87" s="5" t="inlineStr">
        <is>
          <t>Lydicamycin derivative (TPU-0037C)</t>
        </is>
      </c>
      <c r="C87" s="5" t="inlineStr">
        <is>
          <t>Policetídeo microbiano</t>
        </is>
      </c>
      <c r="D87" s="5">
        <f>COUNTIF('2_Limpo'!$C$2:$C$149,B87)</f>
        <v/>
      </c>
      <c r="E87" s="5" t="inlineStr">
        <is>
          <t>74</t>
        </is>
      </c>
      <c r="F87" s="37" t="inlineStr">
        <is>
          <t>E</t>
        </is>
      </c>
      <c r="G87" s="5">
        <f>INDEX('4_Resumo'!$C$5:$C$11,MATCH(F87,'4_Resumo'!$B$5:$B$11,0))</f>
        <v/>
      </c>
      <c r="H87" s="5">
        <f>INDEX('4_Resumo'!$D$5:$D$11,MATCH(F87,'4_Resumo'!$B$5:$B$11,0))</f>
        <v/>
      </c>
      <c r="I87" s="5" t="inlineStr">
        <is>
          <t>—</t>
        </is>
      </c>
      <c r="J87" s="37" t="inlineStr">
        <is>
          <t>2</t>
        </is>
      </c>
      <c r="K87" s="5" t="inlineStr">
        <is>
          <t>Produzido por Streptomyces; só faria sentido como metabólito de endófito.</t>
        </is>
      </c>
      <c r="L87" s="37" t="inlineStr">
        <is>
          <t>—</t>
        </is>
      </c>
    </row>
    <row r="88">
      <c r="A88" s="37" t="n">
        <v>87</v>
      </c>
      <c r="B88" s="5" t="inlineStr">
        <is>
          <t>Cinnamoyl secoiridoid glucoside (oleoside-type)</t>
        </is>
      </c>
      <c r="C88" s="5" t="inlineStr">
        <is>
          <t>Secoiridoide glicosilado</t>
        </is>
      </c>
      <c r="D88" s="5">
        <f>COUNTIF('2_Limpo'!$C$2:$C$149,B88)</f>
        <v/>
      </c>
      <c r="E88" s="5" t="inlineStr">
        <is>
          <t>20</t>
        </is>
      </c>
      <c r="F88" s="37" t="inlineStr">
        <is>
          <t>E</t>
        </is>
      </c>
      <c r="G88" s="5">
        <f>INDEX('4_Resumo'!$C$5:$C$11,MATCH(F88,'4_Resumo'!$B$5:$B$11,0))</f>
        <v/>
      </c>
      <c r="H88" s="5">
        <f>INDEX('4_Resumo'!$D$5:$D$11,MATCH(F88,'4_Resumo'!$B$5:$B$11,0))</f>
        <v/>
      </c>
      <c r="I88" s="5" t="inlineStr">
        <is>
          <t>—</t>
        </is>
      </c>
      <c r="J88" s="37" t="inlineStr">
        <is>
          <t>2</t>
        </is>
      </c>
      <c r="K88" s="5" t="inlineStr">
        <is>
          <t>Secoiridoides do tipo oleosídeo são típicos de Oleaceae/Gentianales.</t>
        </is>
      </c>
      <c r="L88" s="37" t="inlineStr">
        <is>
          <t>—</t>
        </is>
      </c>
    </row>
    <row r="89">
      <c r="A89" s="37" t="n">
        <v>88</v>
      </c>
      <c r="B89" s="5" t="inlineStr">
        <is>
          <t>Lichesterylic acid</t>
        </is>
      </c>
      <c r="C89" s="5" t="inlineStr">
        <is>
          <t>Ácido graxo (lactona)</t>
        </is>
      </c>
      <c r="D89" s="5">
        <f>COUNTIF('2_Limpo'!$C$2:$C$149,B89)</f>
        <v/>
      </c>
      <c r="E89" s="5" t="inlineStr">
        <is>
          <t>69</t>
        </is>
      </c>
      <c r="F89" s="37" t="inlineStr">
        <is>
          <t>E</t>
        </is>
      </c>
      <c r="G89" s="5">
        <f>INDEX('4_Resumo'!$C$5:$C$11,MATCH(F89,'4_Resumo'!$B$5:$B$11,0))</f>
        <v/>
      </c>
      <c r="H89" s="5">
        <f>INDEX('4_Resumo'!$D$5:$D$11,MATCH(F89,'4_Resumo'!$B$5:$B$11,0))</f>
        <v/>
      </c>
      <c r="I89" s="5" t="inlineStr">
        <is>
          <t>—</t>
        </is>
      </c>
      <c r="J89" s="37" t="inlineStr">
        <is>
          <t>2</t>
        </is>
      </c>
      <c r="K89" s="5" t="inlineStr">
        <is>
          <t>Metabólito característico de liquens.</t>
        </is>
      </c>
      <c r="L89" s="37" t="inlineStr">
        <is>
          <t>—</t>
        </is>
      </c>
    </row>
    <row r="90">
      <c r="A90" s="37" t="n">
        <v>89</v>
      </c>
      <c r="B90" s="5" t="inlineStr">
        <is>
          <t>Caffeine</t>
        </is>
      </c>
      <c r="C90" s="5" t="inlineStr">
        <is>
          <t>Alcaloide purínico</t>
        </is>
      </c>
      <c r="D90" s="5">
        <f>COUNTIF('2_Limpo'!$C$2:$C$149,B90)</f>
        <v/>
      </c>
      <c r="E90" s="5" t="inlineStr">
        <is>
          <t>33</t>
        </is>
      </c>
      <c r="F90" s="37" t="inlineStr">
        <is>
          <t>F</t>
        </is>
      </c>
      <c r="G90" s="5">
        <f>INDEX('4_Resumo'!$C$5:$C$11,MATCH(F90,'4_Resumo'!$B$5:$B$11,0))</f>
        <v/>
      </c>
      <c r="H90" s="5">
        <f>INDEX('4_Resumo'!$D$5:$D$11,MATCH(F90,'4_Resumo'!$B$5:$B$11,0))</f>
        <v/>
      </c>
      <c r="I90" s="5" t="inlineStr">
        <is>
          <t>—</t>
        </is>
      </c>
      <c r="J90" s="37" t="inlineStr">
        <is>
          <t>2</t>
        </is>
      </c>
      <c r="K90" s="5" t="inlineStr">
        <is>
          <t>Orchidaceae não produz alcaloides purínicos (típicos de Coffea, Camellia, Theobroma, Ilex). Cafeína é contaminante frequente de laboratório (contaminação cruzada).</t>
        </is>
      </c>
      <c r="L90" s="37" t="inlineStr">
        <is>
          <t>R8</t>
        </is>
      </c>
    </row>
    <row r="91">
      <c r="A91" s="37" t="n">
        <v>90</v>
      </c>
      <c r="B91" s="5" t="inlineStr">
        <is>
          <t>Paraxanthine</t>
        </is>
      </c>
      <c r="C91" s="5" t="inlineStr">
        <is>
          <t>Alcaloide purínico</t>
        </is>
      </c>
      <c r="D91" s="5">
        <f>COUNTIF('2_Limpo'!$C$2:$C$149,B91)</f>
        <v/>
      </c>
      <c r="E91" s="5" t="inlineStr">
        <is>
          <t>101, 102</t>
        </is>
      </c>
      <c r="F91" s="37" t="inlineStr">
        <is>
          <t>F</t>
        </is>
      </c>
      <c r="G91" s="5">
        <f>INDEX('4_Resumo'!$C$5:$C$11,MATCH(F91,'4_Resumo'!$B$5:$B$11,0))</f>
        <v/>
      </c>
      <c r="H91" s="5">
        <f>INDEX('4_Resumo'!$D$5:$D$11,MATCH(F91,'4_Resumo'!$B$5:$B$11,0))</f>
        <v/>
      </c>
      <c r="I91" s="5" t="inlineStr">
        <is>
          <t>C7H8N4O2 (teobromina/paraxantina/teofilina)</t>
        </is>
      </c>
      <c r="J91" s="37" t="inlineStr">
        <is>
          <t>3</t>
        </is>
      </c>
      <c r="K91" s="5" t="inlineStr">
        <is>
          <t>Metabólito humano da cafeína; não esperado em planta.</t>
        </is>
      </c>
      <c r="L91" s="37" t="inlineStr">
        <is>
          <t>—</t>
        </is>
      </c>
    </row>
    <row r="92">
      <c r="A92" s="37" t="n">
        <v>91</v>
      </c>
      <c r="B92" s="5" t="inlineStr">
        <is>
          <t>Theobromine</t>
        </is>
      </c>
      <c r="C92" s="5" t="inlineStr">
        <is>
          <t>Alcaloide purínico</t>
        </is>
      </c>
      <c r="D92" s="5">
        <f>COUNTIF('2_Limpo'!$C$2:$C$149,B92)</f>
        <v/>
      </c>
      <c r="E92" s="5" t="inlineStr">
        <is>
          <t>140, 143, 144, 145</t>
        </is>
      </c>
      <c r="F92" s="37" t="inlineStr">
        <is>
          <t>F</t>
        </is>
      </c>
      <c r="G92" s="5">
        <f>INDEX('4_Resumo'!$C$5:$C$11,MATCH(F92,'4_Resumo'!$B$5:$B$11,0))</f>
        <v/>
      </c>
      <c r="H92" s="5">
        <f>INDEX('4_Resumo'!$D$5:$D$11,MATCH(F92,'4_Resumo'!$B$5:$B$11,0))</f>
        <v/>
      </c>
      <c r="I92" s="5" t="inlineStr">
        <is>
          <t>C7H8N4O2 (teobromina/paraxantina/teofilina)</t>
        </is>
      </c>
      <c r="J92" s="37" t="inlineStr">
        <is>
          <t>3</t>
        </is>
      </c>
      <c r="K92" s="5" t="inlineStr">
        <is>
          <t>Sem rota em Orchidaceae; provável contaminação cruzada/carryover. 5 linhas.</t>
        </is>
      </c>
      <c r="L92" s="37" t="inlineStr">
        <is>
          <t>—</t>
        </is>
      </c>
    </row>
    <row r="93">
      <c r="A93" s="37" t="n">
        <v>92</v>
      </c>
      <c r="B93" s="5" t="inlineStr">
        <is>
          <t>Theophylline</t>
        </is>
      </c>
      <c r="C93" s="5" t="inlineStr">
        <is>
          <t>Alcaloide purínico</t>
        </is>
      </c>
      <c r="D93" s="5">
        <f>COUNTIF('2_Limpo'!$C$2:$C$149,B93)</f>
        <v/>
      </c>
      <c r="E93" s="5" t="inlineStr">
        <is>
          <t>146</t>
        </is>
      </c>
      <c r="F93" s="37" t="inlineStr">
        <is>
          <t>F</t>
        </is>
      </c>
      <c r="G93" s="5">
        <f>INDEX('4_Resumo'!$C$5:$C$11,MATCH(F93,'4_Resumo'!$B$5:$B$11,0))</f>
        <v/>
      </c>
      <c r="H93" s="5">
        <f>INDEX('4_Resumo'!$D$5:$D$11,MATCH(F93,'4_Resumo'!$B$5:$B$11,0))</f>
        <v/>
      </c>
      <c r="I93" s="5" t="inlineStr">
        <is>
          <t>C7H8N4O2 (teobromina/paraxantina/teofilina)</t>
        </is>
      </c>
      <c r="J93" s="37" t="inlineStr">
        <is>
          <t>3</t>
        </is>
      </c>
      <c r="K93" s="5" t="inlineStr">
        <is>
          <t>Sem rota em Orchidaceae; isômero de teobromina/paraxantina.</t>
        </is>
      </c>
      <c r="L93" s="37" t="inlineStr">
        <is>
          <t>—</t>
        </is>
      </c>
    </row>
    <row r="94">
      <c r="A94" s="37" t="n">
        <v>93</v>
      </c>
      <c r="B94" s="5" t="inlineStr">
        <is>
          <t>Oleamide</t>
        </is>
      </c>
      <c r="C94" s="5" t="inlineStr">
        <is>
          <t>Amida de ácido graxo</t>
        </is>
      </c>
      <c r="D94" s="5">
        <f>COUNTIF('2_Limpo'!$C$2:$C$149,B94)</f>
        <v/>
      </c>
      <c r="E94" s="5" t="inlineStr">
        <is>
          <t>118</t>
        </is>
      </c>
      <c r="F94" s="37" t="inlineStr">
        <is>
          <t>F</t>
        </is>
      </c>
      <c r="G94" s="5">
        <f>INDEX('4_Resumo'!$C$5:$C$11,MATCH(F94,'4_Resumo'!$B$5:$B$11,0))</f>
        <v/>
      </c>
      <c r="H94" s="5">
        <f>INDEX('4_Resumo'!$D$5:$D$11,MATCH(F94,'4_Resumo'!$B$5:$B$11,0))</f>
        <v/>
      </c>
      <c r="I94" s="5" t="inlineStr">
        <is>
          <t>—</t>
        </is>
      </c>
      <c r="J94" s="37" t="inlineStr">
        <is>
          <t>2</t>
        </is>
      </c>
      <c r="K94" s="5" t="inlineStr">
        <is>
          <t>Ocorre em plantas, mas é um contaminante clássico liberado por plásticos (ponteiras, tubos).</t>
        </is>
      </c>
      <c r="L94" s="37" t="inlineStr">
        <is>
          <t>R9</t>
        </is>
      </c>
    </row>
    <row r="95">
      <c r="A95" s="37" t="n">
        <v>94</v>
      </c>
      <c r="B95" s="5" t="inlineStr">
        <is>
          <t>1-(2-Hydroxyethyl)-2,2,6,6-tetramethyl-4-piperidinol</t>
        </is>
      </c>
      <c r="C95" s="5" t="inlineStr">
        <is>
          <t>Amina (estabilizante de polímero)</t>
        </is>
      </c>
      <c r="D95" s="5">
        <f>COUNTIF('2_Limpo'!$C$2:$C$149,B95)</f>
        <v/>
      </c>
      <c r="E95" s="5" t="inlineStr">
        <is>
          <t>3, 76</t>
        </is>
      </c>
      <c r="F95" s="37" t="inlineStr">
        <is>
          <t>F</t>
        </is>
      </c>
      <c r="G95" s="5">
        <f>INDEX('4_Resumo'!$C$5:$C$11,MATCH(F95,'4_Resumo'!$B$5:$B$11,0))</f>
        <v/>
      </c>
      <c r="H95" s="5">
        <f>INDEX('4_Resumo'!$D$5:$D$11,MATCH(F95,'4_Resumo'!$B$5:$B$11,0))</f>
        <v/>
      </c>
      <c r="I95" s="5" t="inlineStr">
        <is>
          <t>—</t>
        </is>
      </c>
      <c r="J95" s="37" t="inlineStr">
        <is>
          <t>2</t>
        </is>
      </c>
      <c r="K95" s="5" t="inlineStr">
        <is>
          <t>Produto de degradação de estabilizante de plástico (HALS tipo Tinuvin 622) — contaminante.</t>
        </is>
      </c>
      <c r="L95" s="37" t="inlineStr">
        <is>
          <t>R8</t>
        </is>
      </c>
    </row>
    <row r="96">
      <c r="A96" s="37" t="n">
        <v>95</v>
      </c>
      <c r="B96" s="5" t="inlineStr">
        <is>
          <t>Diphenylamine</t>
        </is>
      </c>
      <c r="C96" s="5" t="inlineStr">
        <is>
          <t>Amina aromática</t>
        </is>
      </c>
      <c r="D96" s="5">
        <f>COUNTIF('2_Limpo'!$C$2:$C$149,B96)</f>
        <v/>
      </c>
      <c r="E96" s="5" t="inlineStr">
        <is>
          <t>78, 79, 125</t>
        </is>
      </c>
      <c r="F96" s="37" t="inlineStr">
        <is>
          <t>F</t>
        </is>
      </c>
      <c r="G96" s="5">
        <f>INDEX('4_Resumo'!$C$5:$C$11,MATCH(F96,'4_Resumo'!$B$5:$B$11,0))</f>
        <v/>
      </c>
      <c r="H96" s="5">
        <f>INDEX('4_Resumo'!$D$5:$D$11,MATCH(F96,'4_Resumo'!$B$5:$B$11,0))</f>
        <v/>
      </c>
      <c r="I96" s="5" t="inlineStr">
        <is>
          <t>—</t>
        </is>
      </c>
      <c r="J96" s="37" t="inlineStr">
        <is>
          <t>2</t>
        </is>
      </c>
      <c r="K96" s="5" t="inlineStr">
        <is>
          <t>Antioxidante industrial e pós-colheita; provável contaminante. 3 linhas.</t>
        </is>
      </c>
      <c r="L96" s="37" t="inlineStr">
        <is>
          <t>—</t>
        </is>
      </c>
    </row>
    <row r="97">
      <c r="A97" s="37" t="n">
        <v>96</v>
      </c>
      <c r="B97" s="5" t="inlineStr">
        <is>
          <t>Cyclohexylamine</t>
        </is>
      </c>
      <c r="C97" s="5" t="inlineStr">
        <is>
          <t>Amina industrial</t>
        </is>
      </c>
      <c r="D97" s="5">
        <f>COUNTIF('2_Limpo'!$C$2:$C$149,B97)</f>
        <v/>
      </c>
      <c r="E97" s="5" t="inlineStr">
        <is>
          <t>36</t>
        </is>
      </c>
      <c r="F97" s="37" t="inlineStr">
        <is>
          <t>F</t>
        </is>
      </c>
      <c r="G97" s="5">
        <f>INDEX('4_Resumo'!$C$5:$C$11,MATCH(F97,'4_Resumo'!$B$5:$B$11,0))</f>
        <v/>
      </c>
      <c r="H97" s="5">
        <f>INDEX('4_Resumo'!$D$5:$D$11,MATCH(F97,'4_Resumo'!$B$5:$B$11,0))</f>
        <v/>
      </c>
      <c r="I97" s="5" t="inlineStr">
        <is>
          <t>—</t>
        </is>
      </c>
      <c r="J97" s="37" t="inlineStr">
        <is>
          <t>2</t>
        </is>
      </c>
      <c r="K97" s="5" t="inlineStr">
        <is>
          <t>Aditivo industrial; contaminante.</t>
        </is>
      </c>
      <c r="L97" s="37" t="inlineStr">
        <is>
          <t>—</t>
        </is>
      </c>
    </row>
    <row r="98">
      <c r="A98" s="37" t="n">
        <v>97</v>
      </c>
      <c r="B98" s="5" t="inlineStr">
        <is>
          <t>1,8-Dimethyl-3,6-diazatricyclo[4.3.1.1(3,8)]undecan-9-ol</t>
        </is>
      </c>
      <c r="C98" s="5" t="inlineStr">
        <is>
          <t>Amina policíclica</t>
        </is>
      </c>
      <c r="D98" s="5">
        <f>COUNTIF('2_Limpo'!$C$2:$C$149,B98)</f>
        <v/>
      </c>
      <c r="E98" s="5" t="inlineStr">
        <is>
          <t>5</t>
        </is>
      </c>
      <c r="F98" s="37" t="inlineStr">
        <is>
          <t>F</t>
        </is>
      </c>
      <c r="G98" s="5">
        <f>INDEX('4_Resumo'!$C$5:$C$11,MATCH(F98,'4_Resumo'!$B$5:$B$11,0))</f>
        <v/>
      </c>
      <c r="H98" s="5">
        <f>INDEX('4_Resumo'!$D$5:$D$11,MATCH(F98,'4_Resumo'!$B$5:$B$11,0))</f>
        <v/>
      </c>
      <c r="I98" s="5" t="inlineStr">
        <is>
          <t>—</t>
        </is>
      </c>
      <c r="J98" s="37" t="inlineStr">
        <is>
          <t>2</t>
        </is>
      </c>
      <c r="K98" s="5" t="inlineStr">
        <is>
          <t>Estrutura sintética, sem ocorrência natural conhecida.</t>
        </is>
      </c>
      <c r="L98" s="37" t="inlineStr">
        <is>
          <t>—</t>
        </is>
      </c>
    </row>
    <row r="99">
      <c r="A99" s="37" t="n">
        <v>98</v>
      </c>
      <c r="B99" s="5" t="inlineStr">
        <is>
          <t>Pyrimidinetrione (barbiturate) derivative</t>
        </is>
      </c>
      <c r="C99" s="5" t="inlineStr">
        <is>
          <t>Barbiturato sintético</t>
        </is>
      </c>
      <c r="D99" s="5">
        <f>COUNTIF('2_Limpo'!$C$2:$C$149,B99)</f>
        <v/>
      </c>
      <c r="E99" s="5" t="inlineStr">
        <is>
          <t>2</t>
        </is>
      </c>
      <c r="F99" s="37" t="inlineStr">
        <is>
          <t>F</t>
        </is>
      </c>
      <c r="G99" s="5">
        <f>INDEX('4_Resumo'!$C$5:$C$11,MATCH(F99,'4_Resumo'!$B$5:$B$11,0))</f>
        <v/>
      </c>
      <c r="H99" s="5">
        <f>INDEX('4_Resumo'!$D$5:$D$11,MATCH(F99,'4_Resumo'!$B$5:$B$11,0))</f>
        <v/>
      </c>
      <c r="I99" s="5" t="inlineStr">
        <is>
          <t>—</t>
        </is>
      </c>
      <c r="J99" s="37" t="inlineStr">
        <is>
          <t>2</t>
        </is>
      </c>
      <c r="K99" s="5" t="inlineStr">
        <is>
          <t>Composto sintético de biblioteca.</t>
        </is>
      </c>
      <c r="L99" s="37" t="inlineStr">
        <is>
          <t>—</t>
        </is>
      </c>
    </row>
    <row r="100">
      <c r="A100" s="37" t="n">
        <v>99</v>
      </c>
      <c r="B100" s="5" t="inlineStr">
        <is>
          <t>Septum vial contaminants (Thermo C4000-53/54)</t>
        </is>
      </c>
      <c r="C100" s="5" t="inlineStr">
        <is>
          <t>Contaminante</t>
        </is>
      </c>
      <c r="D100" s="5">
        <f>COUNTIF('2_Limpo'!$C$2:$C$149,B100)</f>
        <v/>
      </c>
      <c r="E100" s="5" t="inlineStr">
        <is>
          <t>35</t>
        </is>
      </c>
      <c r="F100" s="37" t="inlineStr">
        <is>
          <t>F</t>
        </is>
      </c>
      <c r="G100" s="5">
        <f>INDEX('4_Resumo'!$C$5:$C$11,MATCH(F100,'4_Resumo'!$B$5:$B$11,0))</f>
        <v/>
      </c>
      <c r="H100" s="5">
        <f>INDEX('4_Resumo'!$D$5:$D$11,MATCH(F100,'4_Resumo'!$B$5:$B$11,0))</f>
        <v/>
      </c>
      <c r="I100" s="5" t="inlineStr">
        <is>
          <t>—</t>
        </is>
      </c>
      <c r="J100" s="37" t="inlineStr">
        <is>
          <t>2</t>
        </is>
      </c>
      <c r="K100" s="5" t="inlineStr">
        <is>
          <t>O próprio nome indica contaminante de septo de vial.</t>
        </is>
      </c>
      <c r="L100" s="37" t="inlineStr">
        <is>
          <t>R8</t>
        </is>
      </c>
    </row>
    <row r="101">
      <c r="A101" s="37" t="n">
        <v>100</v>
      </c>
      <c r="B101" s="5" t="inlineStr">
        <is>
          <t>Finasteride</t>
        </is>
      </c>
      <c r="C101" s="5" t="inlineStr">
        <is>
          <t>Fármaco</t>
        </is>
      </c>
      <c r="D101" s="5">
        <f>COUNTIF('2_Limpo'!$C$2:$C$149,B101)</f>
        <v/>
      </c>
      <c r="E101" s="5" t="inlineStr">
        <is>
          <t>43</t>
        </is>
      </c>
      <c r="F101" s="37" t="inlineStr">
        <is>
          <t>F</t>
        </is>
      </c>
      <c r="G101" s="5">
        <f>INDEX('4_Resumo'!$C$5:$C$11,MATCH(F101,'4_Resumo'!$B$5:$B$11,0))</f>
        <v/>
      </c>
      <c r="H101" s="5">
        <f>INDEX('4_Resumo'!$D$5:$D$11,MATCH(F101,'4_Resumo'!$B$5:$B$11,0))</f>
        <v/>
      </c>
      <c r="I101" s="5" t="inlineStr">
        <is>
          <t>—</t>
        </is>
      </c>
      <c r="J101" s="37" t="inlineStr">
        <is>
          <t>2</t>
        </is>
      </c>
      <c r="K101" s="5" t="inlineStr">
        <is>
          <t>Fármaco sintético (inibidor de 5α-redutase).</t>
        </is>
      </c>
      <c r="L101" s="37" t="inlineStr">
        <is>
          <t>—</t>
        </is>
      </c>
    </row>
    <row r="102">
      <c r="A102" s="37" t="n">
        <v>101</v>
      </c>
      <c r="B102" s="5" t="inlineStr">
        <is>
          <t>NL3680000 (não resolvido)</t>
        </is>
      </c>
      <c r="C102" s="5" t="inlineStr">
        <is>
          <t>Indeterminado</t>
        </is>
      </c>
      <c r="D102" s="5">
        <f>COUNTIF('2_Limpo'!$C$2:$C$149,B102)</f>
        <v/>
      </c>
      <c r="E102" s="5" t="inlineStr">
        <is>
          <t>93</t>
        </is>
      </c>
      <c r="F102" s="37" t="inlineStr">
        <is>
          <t>F</t>
        </is>
      </c>
      <c r="G102" s="5">
        <f>INDEX('4_Resumo'!$C$5:$C$11,MATCH(F102,'4_Resumo'!$B$5:$B$11,0))</f>
        <v/>
      </c>
      <c r="H102" s="5">
        <f>INDEX('4_Resumo'!$D$5:$D$11,MATCH(F102,'4_Resumo'!$B$5:$B$11,0))</f>
        <v/>
      </c>
      <c r="I102" s="5" t="inlineStr">
        <is>
          <t>—</t>
        </is>
      </c>
      <c r="J102" s="37" t="inlineStr">
        <is>
          <t>2</t>
        </is>
      </c>
      <c r="K102" s="5" t="inlineStr">
        <is>
          <t>Código de registro sem nome químico; não é possível curar. Rever a anotação no software de origem.</t>
        </is>
      </c>
      <c r="L102" s="37" t="inlineStr">
        <is>
          <t>—</t>
        </is>
      </c>
    </row>
    <row r="103">
      <c r="A103" s="37" t="n">
        <v>102</v>
      </c>
      <c r="B103" s="5" t="inlineStr">
        <is>
          <t>4-Chlorophenylurea</t>
        </is>
      </c>
      <c r="C103" s="5" t="inlineStr">
        <is>
          <t>Metabólito de pesticida</t>
        </is>
      </c>
      <c r="D103" s="5">
        <f>COUNTIF('2_Limpo'!$C$2:$C$149,B103)</f>
        <v/>
      </c>
      <c r="E103" s="5" t="inlineStr">
        <is>
          <t>80</t>
        </is>
      </c>
      <c r="F103" s="37" t="inlineStr">
        <is>
          <t>F</t>
        </is>
      </c>
      <c r="G103" s="5">
        <f>INDEX('4_Resumo'!$C$5:$C$11,MATCH(F103,'4_Resumo'!$B$5:$B$11,0))</f>
        <v/>
      </c>
      <c r="H103" s="5">
        <f>INDEX('4_Resumo'!$D$5:$D$11,MATCH(F103,'4_Resumo'!$B$5:$B$11,0))</f>
        <v/>
      </c>
      <c r="I103" s="5" t="inlineStr">
        <is>
          <t>—</t>
        </is>
      </c>
      <c r="J103" s="37" t="inlineStr">
        <is>
          <t>2</t>
        </is>
      </c>
      <c r="K103" s="5" t="inlineStr">
        <is>
          <t>Metabólito de herbicidas/inseticidas fenilureicos (ex.: diflubenzuron) — resíduo agrícola, não metabólito vegetal.</t>
        </is>
      </c>
      <c r="L103" s="37" t="inlineStr">
        <is>
          <t>—</t>
        </is>
      </c>
    </row>
    <row r="104">
      <c r="A104" s="37" t="n">
        <v>103</v>
      </c>
      <c r="B104" s="5" t="inlineStr">
        <is>
          <t>N-Nitrosopyrrolidine</t>
        </is>
      </c>
      <c r="C104" s="5" t="inlineStr">
        <is>
          <t>Nitrosamina</t>
        </is>
      </c>
      <c r="D104" s="5">
        <f>COUNTIF('2_Limpo'!$C$2:$C$149,B104)</f>
        <v/>
      </c>
      <c r="E104" s="5" t="inlineStr">
        <is>
          <t>91</t>
        </is>
      </c>
      <c r="F104" s="37" t="inlineStr">
        <is>
          <t>F</t>
        </is>
      </c>
      <c r="G104" s="5">
        <f>INDEX('4_Resumo'!$C$5:$C$11,MATCH(F104,'4_Resumo'!$B$5:$B$11,0))</f>
        <v/>
      </c>
      <c r="H104" s="5">
        <f>INDEX('4_Resumo'!$D$5:$D$11,MATCH(F104,'4_Resumo'!$B$5:$B$11,0))</f>
        <v/>
      </c>
      <c r="I104" s="5" t="inlineStr">
        <is>
          <t>—</t>
        </is>
      </c>
      <c r="J104" s="37" t="inlineStr">
        <is>
          <t>2</t>
        </is>
      </c>
      <c r="K104" s="5" t="inlineStr">
        <is>
          <t>Nitrosamina; artefato/contaminante. Confirmar antes de reportar.</t>
        </is>
      </c>
      <c r="L104" s="37" t="inlineStr">
        <is>
          <t>—</t>
        </is>
      </c>
    </row>
    <row r="105">
      <c r="A105" s="37" t="n">
        <v>104</v>
      </c>
      <c r="B105" s="5" t="inlineStr">
        <is>
          <t>6-(Methylthio)guanine</t>
        </is>
      </c>
      <c r="C105" s="5" t="inlineStr">
        <is>
          <t>Purina sintética</t>
        </is>
      </c>
      <c r="D105" s="5">
        <f>COUNTIF('2_Limpo'!$C$2:$C$149,B105)</f>
        <v/>
      </c>
      <c r="E105" s="5" t="inlineStr">
        <is>
          <t>23</t>
        </is>
      </c>
      <c r="F105" s="37" t="inlineStr">
        <is>
          <t>F</t>
        </is>
      </c>
      <c r="G105" s="5">
        <f>INDEX('4_Resumo'!$C$5:$C$11,MATCH(F105,'4_Resumo'!$B$5:$B$11,0))</f>
        <v/>
      </c>
      <c r="H105" s="5">
        <f>INDEX('4_Resumo'!$D$5:$D$11,MATCH(F105,'4_Resumo'!$B$5:$B$11,0))</f>
        <v/>
      </c>
      <c r="I105" s="5" t="inlineStr">
        <is>
          <t>—</t>
        </is>
      </c>
      <c r="J105" s="37" t="inlineStr">
        <is>
          <t>2</t>
        </is>
      </c>
      <c r="K105" s="5" t="inlineStr">
        <is>
          <t>Metabólito de fármaco tiopurínico (6-tioguanina); sem origem vegetal.</t>
        </is>
      </c>
      <c r="L105" s="37" t="inlineStr">
        <is>
          <t>—</t>
        </is>
      </c>
    </row>
    <row r="106">
      <c r="A106" s="37" t="n">
        <v>105</v>
      </c>
      <c r="B106" s="5" t="inlineStr">
        <is>
          <t>4-((Hydroxyimino)methyl)-1-methylquinolin-2-one</t>
        </is>
      </c>
      <c r="C106" s="5" t="inlineStr">
        <is>
          <t>Quinolinona</t>
        </is>
      </c>
      <c r="D106" s="5">
        <f>COUNTIF('2_Limpo'!$C$2:$C$149,B106)</f>
        <v/>
      </c>
      <c r="E106" s="5" t="inlineStr">
        <is>
          <t>19</t>
        </is>
      </c>
      <c r="F106" s="37" t="inlineStr">
        <is>
          <t>F</t>
        </is>
      </c>
      <c r="G106" s="5">
        <f>INDEX('4_Resumo'!$C$5:$C$11,MATCH(F106,'4_Resumo'!$B$5:$B$11,0))</f>
        <v/>
      </c>
      <c r="H106" s="5">
        <f>INDEX('4_Resumo'!$D$5:$D$11,MATCH(F106,'4_Resumo'!$B$5:$B$11,0))</f>
        <v/>
      </c>
      <c r="I106" s="5" t="inlineStr">
        <is>
          <t>—</t>
        </is>
      </c>
      <c r="J106" s="37" t="inlineStr">
        <is>
          <t>2</t>
        </is>
      </c>
      <c r="K106" s="5" t="inlineStr">
        <is>
          <t>Composto de biblioteca sintética, sem ocorrência natural conhecida.</t>
        </is>
      </c>
      <c r="L106" s="37" t="inlineStr">
        <is>
          <t>—</t>
        </is>
      </c>
    </row>
    <row r="107">
      <c r="A107" s="37" t="n">
        <v>106</v>
      </c>
      <c r="B107" s="5" t="inlineStr">
        <is>
          <t>6-Ethyl-4-methylquinolin-2-one</t>
        </is>
      </c>
      <c r="C107" s="5" t="inlineStr">
        <is>
          <t>Quinolinona</t>
        </is>
      </c>
      <c r="D107" s="5">
        <f>COUNTIF('2_Limpo'!$C$2:$C$149,B107)</f>
        <v/>
      </c>
      <c r="E107" s="5" t="inlineStr">
        <is>
          <t>21</t>
        </is>
      </c>
      <c r="F107" s="37" t="inlineStr">
        <is>
          <t>F</t>
        </is>
      </c>
      <c r="G107" s="5">
        <f>INDEX('4_Resumo'!$C$5:$C$11,MATCH(F107,'4_Resumo'!$B$5:$B$11,0))</f>
        <v/>
      </c>
      <c r="H107" s="5">
        <f>INDEX('4_Resumo'!$D$5:$D$11,MATCH(F107,'4_Resumo'!$B$5:$B$11,0))</f>
        <v/>
      </c>
      <c r="I107" s="5" t="inlineStr">
        <is>
          <t>—</t>
        </is>
      </c>
      <c r="J107" s="37" t="inlineStr">
        <is>
          <t>2</t>
        </is>
      </c>
      <c r="K107" s="5" t="inlineStr">
        <is>
          <t>Composto de biblioteca sintética.</t>
        </is>
      </c>
      <c r="L107" s="37" t="inlineStr">
        <is>
          <t>—</t>
        </is>
      </c>
    </row>
    <row r="108">
      <c r="A108" s="37" t="n">
        <v>107</v>
      </c>
      <c r="B108" s="5" t="inlineStr">
        <is>
          <t>DEET</t>
        </is>
      </c>
      <c r="C108" s="5" t="inlineStr">
        <is>
          <t>Repelente sintético</t>
        </is>
      </c>
      <c r="D108" s="5">
        <f>COUNTIF('2_Limpo'!$C$2:$C$149,B108)</f>
        <v/>
      </c>
      <c r="E108" s="5" t="inlineStr">
        <is>
          <t>77</t>
        </is>
      </c>
      <c r="F108" s="37" t="inlineStr">
        <is>
          <t>F</t>
        </is>
      </c>
      <c r="G108" s="5">
        <f>INDEX('4_Resumo'!$C$5:$C$11,MATCH(F108,'4_Resumo'!$B$5:$B$11,0))</f>
        <v/>
      </c>
      <c r="H108" s="5">
        <f>INDEX('4_Resumo'!$D$5:$D$11,MATCH(F108,'4_Resumo'!$B$5:$B$11,0))</f>
        <v/>
      </c>
      <c r="I108" s="5" t="inlineStr">
        <is>
          <t>—</t>
        </is>
      </c>
      <c r="J108" s="37" t="inlineStr">
        <is>
          <t>2</t>
        </is>
      </c>
      <c r="K108" s="5" t="inlineStr">
        <is>
          <t>Repelente de insetos (contaminação ambiental ou de manipulação).</t>
        </is>
      </c>
      <c r="L108" s="37" t="inlineStr">
        <is>
          <t>—</t>
        </is>
      </c>
    </row>
    <row r="109">
      <c r="A109" s="37" t="n">
        <v>108</v>
      </c>
      <c r="B109" s="5" t="inlineStr">
        <is>
          <t>1,3-Dicyclohexylurea</t>
        </is>
      </c>
      <c r="C109" s="5" t="inlineStr">
        <is>
          <t>Ureia sintética</t>
        </is>
      </c>
      <c r="D109" s="5">
        <f>COUNTIF('2_Limpo'!$C$2:$C$149,B109)</f>
        <v/>
      </c>
      <c r="E109" s="5" t="inlineStr">
        <is>
          <t>111</t>
        </is>
      </c>
      <c r="F109" s="37" t="inlineStr">
        <is>
          <t>F</t>
        </is>
      </c>
      <c r="G109" s="5">
        <f>INDEX('4_Resumo'!$C$5:$C$11,MATCH(F109,'4_Resumo'!$B$5:$B$11,0))</f>
        <v/>
      </c>
      <c r="H109" s="5">
        <f>INDEX('4_Resumo'!$D$5:$D$11,MATCH(F109,'4_Resumo'!$B$5:$B$11,0))</f>
        <v/>
      </c>
      <c r="I109" s="5" t="inlineStr">
        <is>
          <t>—</t>
        </is>
      </c>
      <c r="J109" s="37" t="inlineStr">
        <is>
          <t>2</t>
        </is>
      </c>
      <c r="K109" s="5" t="inlineStr">
        <is>
          <t>Subproduto do DCC (reagente de síntese) e contaminante conhecido de LC-MS.</t>
        </is>
      </c>
      <c r="L109" s="37" t="inlineStr">
        <is>
          <t>R8</t>
        </is>
      </c>
    </row>
  </sheetData>
  <autoFilter ref="A1:L109"/>
  <conditionalFormatting sqref="F2:F109">
    <cfRule type="expression" priority="1" dxfId="0">
      <formula>$F2="A"</formula>
    </cfRule>
    <cfRule type="expression" priority="2" dxfId="1">
      <formula>$F2="B"</formula>
    </cfRule>
    <cfRule type="expression" priority="3" dxfId="2">
      <formula>$F2="C"</formula>
    </cfRule>
    <cfRule type="expression" priority="4" dxfId="3">
      <formula>$F2="D"</formula>
    </cfRule>
    <cfRule type="expression" priority="5" dxfId="4">
      <formula>$F2="E"</formula>
    </cfRule>
    <cfRule type="expression" priority="6" dxfId="5">
      <formula>$F2="F"</formula>
    </cfRule>
    <cfRule type="expression" priority="7" dxfId="6">
      <formula>$F2="P"</formula>
    </cfRule>
  </conditionalFormatting>
  <dataValidations count="1">
    <dataValidation sqref="F2:F109" showDropDown="0" showInputMessage="0" showErrorMessage="0" allowBlank="0" type="list">
      <formula1>"A,B,C,D,E,F,P"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110" customWidth="1" min="2" max="2"/>
    <col width="60" customWidth="1" min="3" max="3"/>
  </cols>
  <sheetData>
    <row r="1" ht="32" customHeight="1">
      <c r="A1" s="21" t="inlineStr">
        <is>
          <t>Código</t>
        </is>
      </c>
      <c r="B1" s="21" t="inlineStr">
        <is>
          <t>Referência</t>
        </is>
      </c>
      <c r="C1" s="21" t="inlineStr">
        <is>
          <t>Link</t>
        </is>
      </c>
    </row>
    <row r="2">
      <c r="A2" s="2" t="inlineStr">
        <is>
          <t>R1</t>
        </is>
      </c>
      <c r="B2" s="5" t="inlineStr">
        <is>
          <t>Beer et al. (2025). Comprehensive metabolome characterization of leaves, internodes, and aerial roots of Vanilla planifolia by untargeted LC–MS and GC×GC–MS. Phytochemical Analysis.</t>
        </is>
      </c>
      <c r="C2" s="38" t="inlineStr">
        <is>
          <t>https://pmc.ncbi.nlm.nih.gov/articles/PMC11743222/</t>
        </is>
      </c>
    </row>
    <row r="3">
      <c r="A3" s="2" t="inlineStr">
        <is>
          <t>R2</t>
        </is>
      </c>
      <c r="B3" s="5" t="inlineStr">
        <is>
          <t>dos Santos et al. (2026). Chemical diversity and species differentiation in Brazilian Vanilla: insights from LC-HRMS/MS metabolomics. Metabolomics.</t>
        </is>
      </c>
      <c r="C3" s="38" t="inlineStr">
        <is>
          <t>https://link.springer.com/article/10.1007/s11306-026-02422-8</t>
        </is>
      </c>
    </row>
    <row r="4">
      <c r="A4" s="2" t="inlineStr">
        <is>
          <t>R3</t>
        </is>
      </c>
      <c r="B4" s="5" t="inlineStr">
        <is>
          <t>Vaz et al. (2022). LC-HRMS/MS-based metabolomics approaches applied to the detection of antifungal compounds and a metabolic dynamic assessment of Orchidaceae (Vanda e Cattleya). Molecules 27(22):7937.</t>
        </is>
      </c>
      <c r="C4" s="38" t="inlineStr">
        <is>
          <t>https://www.mdpi.com/1420-3049/27/22/7937</t>
        </is>
      </c>
    </row>
    <row r="5">
      <c r="A5" s="2" t="inlineStr">
        <is>
          <t>R4</t>
        </is>
      </c>
      <c r="B5" s="5" t="inlineStr">
        <is>
          <t>Hernández-Peña et al. (2025). Unravelling vanillin biosynthesis: integrative transcriptomic and metabolomic insights into pod development. J. Agric. Food Chem.</t>
        </is>
      </c>
      <c r="C5" s="38" t="inlineStr">
        <is>
          <t>https://pmc.ncbi.nlm.nih.gov/articles/PMC12314903/</t>
        </is>
      </c>
    </row>
    <row r="6">
      <c r="A6" s="2" t="inlineStr">
        <is>
          <t>R5</t>
        </is>
      </c>
      <c r="B6" s="5" t="inlineStr">
        <is>
          <t>Pérez-Silva et al. (2006). GC-MS and GC-olfactometry analysis of aroma compounds in a representative organic aroma extract from cured vanilla (V. planifolia) beans. Food Chemistry.</t>
        </is>
      </c>
      <c r="C6" s="38" t="inlineStr">
        <is>
          <t>https://www.researchgate.net/publication/223496777</t>
        </is>
      </c>
    </row>
    <row r="7">
      <c r="A7" s="2" t="inlineStr">
        <is>
          <t>R6</t>
        </is>
      </c>
      <c r="B7" s="5" t="inlineStr">
        <is>
          <t>Palama et al. (2009). Metabolic changes in different developmental stages of Vanilla planifolia pods. J. Agric. Food Chem.</t>
        </is>
      </c>
      <c r="C7" s="38" t="inlineStr">
        <is>
          <t>https://pubmed.ncbi.nlm.nih.gov/19681612/</t>
        </is>
      </c>
    </row>
    <row r="8">
      <c r="A8" s="2" t="inlineStr">
        <is>
          <t>R7</t>
        </is>
      </c>
      <c r="B8" s="5" t="inlineStr">
        <is>
          <t>Gallage et al. (2014). Vanillin formation from ferulic acid in Vanilla planifolia is catalysed by a single enzyme. Nature Communications.</t>
        </is>
      </c>
      <c r="C8" s="38" t="inlineStr">
        <is>
          <t>https://www.nature.com/articles/ncomms5037</t>
        </is>
      </c>
    </row>
    <row r="9">
      <c r="A9" s="2" t="inlineStr">
        <is>
          <t>R8</t>
        </is>
      </c>
      <c r="B9" s="5" t="inlineStr">
        <is>
          <t>Merck/Sigma-Aldrich. LC-MS Contaminants: avoid, identify, minimize (guia técnico).</t>
        </is>
      </c>
      <c r="C9" s="38" t="inlineStr">
        <is>
          <t>https://www.sigmaaldrich.com/deepweb/assets/sigmaaldrich/product/documents/210/830/lc-ms-contaminants-brochure-ms.pdf</t>
        </is>
      </c>
    </row>
    <row r="10">
      <c r="A10" s="2" t="inlineStr">
        <is>
          <t>R9</t>
        </is>
      </c>
      <c r="B10" s="5" t="inlineStr">
        <is>
          <t>Interference of oleamide with analytical and bioassay results (2020). Scientific Reports.</t>
        </is>
      </c>
      <c r="C10" s="38" t="inlineStr">
        <is>
          <t>https://www.nature.com/articles/s41598-020-59093-1</t>
        </is>
      </c>
    </row>
    <row r="11">
      <c r="A11" s="2" t="inlineStr">
        <is>
          <t>R10</t>
        </is>
      </c>
      <c r="B11" s="5" t="inlineStr">
        <is>
          <t>Bioactive β-Carbolines in Food: A Review (2019). Nutrients 11(4):814.</t>
        </is>
      </c>
      <c r="C11" s="38" t="inlineStr">
        <is>
          <t>https://www.mdpi.com/2072-6643/11/4/814</t>
        </is>
      </c>
    </row>
    <row r="12">
      <c r="A12" s="2" t="inlineStr">
        <is>
          <t>R11</t>
        </is>
      </c>
      <c r="B12" s="5" t="inlineStr">
        <is>
          <t>Thermally-induced formation of taste-active 2,5-diketopiperazines from short-chain peptide precursors in cocoa (2019). Food Research International.</t>
        </is>
      </c>
      <c r="C12" s="38" t="inlineStr">
        <is>
          <t>https://www.sciencedirect.com/science/article/abs/pii/S0963996919301590</t>
        </is>
      </c>
    </row>
    <row r="13">
      <c r="A13" s="2" t="inlineStr">
        <is>
          <t>R12</t>
        </is>
      </c>
      <c r="B13" s="5" t="inlineStr">
        <is>
          <t>Sumner et al. (2007). Proposed minimum reporting standards for chemical analysis (MSI). Metabolomics 3:211–221.</t>
        </is>
      </c>
      <c r="C13" s="38" t="inlineStr">
        <is>
          <t>https://doi.org/10.1007/s11306-007-0082-2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2026-10-01T01:21:35Z</dcterms:created>
  <dcterms:modified xmlns:dcterms="http://purl.org/dc/terms/" xmlns:xsi="http://www.w3.org/2001/XMLSchema-instance" xsi:type="dcterms:W3CDTF">2026-10-01T01:21:35Z</dcterms:modified>
</cp:coreProperties>
</file>